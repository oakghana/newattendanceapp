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ana.yiadom-farkye\Desktop\"/>
    </mc:Choice>
  </mc:AlternateContent>
  <xr:revisionPtr revIDLastSave="0" documentId="13_ncr:1_{EB984D3A-C6A8-4F5F-BC63-F1856125EB18}" xr6:coauthVersionLast="47" xr6:coauthVersionMax="47" xr10:uidLastSave="{00000000-0000-0000-0000-000000000000}"/>
  <bookViews>
    <workbookView xWindow="0" yWindow="1170" windowWidth="20490" windowHeight="10200" firstSheet="2" activeTab="2" xr2:uid="{00000000-000D-0000-FFFF-FFFF00000000}"/>
  </bookViews>
  <sheets>
    <sheet name="Sheet1" sheetId="1" r:id="rId1"/>
    <sheet name="Sheet3" sheetId="3" r:id="rId2"/>
    <sheet name="Sheet2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H10" i="4"/>
  <c r="H9" i="4"/>
  <c r="B4" i="4"/>
  <c r="B3" i="4"/>
  <c r="F19" i="4"/>
  <c r="F54" i="4"/>
  <c r="F23" i="4"/>
  <c r="B6" i="4"/>
  <c r="B5" i="4"/>
  <c r="E13" i="4" l="1"/>
  <c r="H8" i="4"/>
  <c r="H61" i="4"/>
  <c r="F57" i="4"/>
  <c r="I5" i="3"/>
  <c r="F57" i="3"/>
  <c r="E12" i="3"/>
  <c r="H10" i="3"/>
  <c r="H9" i="3"/>
  <c r="F58" i="4" l="1"/>
  <c r="H14" i="4"/>
  <c r="H11" i="4"/>
  <c r="B6" i="3"/>
  <c r="B4" i="3"/>
  <c r="B3" i="3"/>
  <c r="B5" i="3"/>
  <c r="H16" i="4" l="1"/>
  <c r="H15" i="4"/>
  <c r="F59" i="4" s="1"/>
  <c r="E12" i="1"/>
  <c r="H10" i="1"/>
  <c r="H9" i="1"/>
  <c r="B4" i="1"/>
  <c r="B3" i="1"/>
  <c r="B6" i="1" l="1"/>
  <c r="H61" i="3" l="1"/>
  <c r="H11" i="3" l="1"/>
  <c r="H56" i="1" l="1"/>
  <c r="H8" i="3" l="1"/>
  <c r="E13" i="3" l="1"/>
  <c r="F58" i="3" l="1"/>
  <c r="H14" i="3"/>
  <c r="H16" i="3"/>
  <c r="H15" i="3" l="1"/>
  <c r="F59" i="3" s="1"/>
  <c r="H11" i="1"/>
  <c r="F52" i="1" l="1"/>
  <c r="H8" i="1" l="1"/>
  <c r="E13" i="1" l="1"/>
  <c r="H14" i="1" s="1"/>
  <c r="F53" i="1" l="1"/>
  <c r="H16" i="1" l="1"/>
  <c r="H15" i="1"/>
  <c r="F54" i="1" l="1"/>
</calcChain>
</file>

<file path=xl/sharedStrings.xml><?xml version="1.0" encoding="utf-8"?>
<sst xmlns="http://schemas.openxmlformats.org/spreadsheetml/2006/main" count="225" uniqueCount="73">
  <si>
    <t>DATE:</t>
  </si>
  <si>
    <t>STAFF No:</t>
  </si>
  <si>
    <t>LOAN REQUIRED</t>
  </si>
  <si>
    <t>DEPARTMENT:</t>
  </si>
  <si>
    <t>LOAN REQUIRED:GH¢</t>
  </si>
  <si>
    <t>STATION:</t>
  </si>
  <si>
    <t>RECOVERY PERIOD:</t>
  </si>
  <si>
    <t>SALARY PER ANNUM</t>
  </si>
  <si>
    <t>GH¢</t>
  </si>
  <si>
    <t>Consolidated Salary per Month</t>
  </si>
  <si>
    <t>Other Allowances</t>
  </si>
  <si>
    <t>Gross Salary per Month</t>
  </si>
  <si>
    <t>Gross Deduction</t>
  </si>
  <si>
    <t>Aproximated Installment of Loan Required</t>
  </si>
  <si>
    <t>Total Deduction</t>
  </si>
  <si>
    <t>Net Salary</t>
  </si>
  <si>
    <t>1/2 of Gross Salary per Month</t>
  </si>
  <si>
    <t>BALANCE OUTSTANDING</t>
  </si>
  <si>
    <t>Consumer item (Nat. welf)</t>
  </si>
  <si>
    <t xml:space="preserve">Motor Cycle loan </t>
  </si>
  <si>
    <t>Interest (Motor Cycle Loan)</t>
  </si>
  <si>
    <t>Rent Advance 2</t>
  </si>
  <si>
    <t>Rent Loan</t>
  </si>
  <si>
    <t>RENT STAFF QUARTERS</t>
  </si>
  <si>
    <t>Funeral Loan</t>
  </si>
  <si>
    <t>Motor Vehicle Loan</t>
  </si>
  <si>
    <t>Two Month Salary Adv</t>
  </si>
  <si>
    <t>Accounts Welfare</t>
  </si>
  <si>
    <t>Ched Welfare Scheme</t>
  </si>
  <si>
    <t>Special Advance</t>
  </si>
  <si>
    <t>Household durables</t>
  </si>
  <si>
    <t>Homeownership Loan</t>
  </si>
  <si>
    <t>Student loan Trust Fund</t>
  </si>
  <si>
    <t>Insurance Loan</t>
  </si>
  <si>
    <t>Educational Loan</t>
  </si>
  <si>
    <t>Transport Welfare Loan</t>
  </si>
  <si>
    <t>Car Repairs</t>
  </si>
  <si>
    <t>Liberty Trust</t>
  </si>
  <si>
    <t>Syndicated Capital</t>
  </si>
  <si>
    <t>Fralien Service</t>
  </si>
  <si>
    <t>Head Office Welfare</t>
  </si>
  <si>
    <t>Glico Loan</t>
  </si>
  <si>
    <t>National welfare</t>
  </si>
  <si>
    <t>Loan Required</t>
  </si>
  <si>
    <t>Percentage of Net Salary to Gross Salary</t>
  </si>
  <si>
    <t xml:space="preserve">Prepared by:    </t>
  </si>
  <si>
    <t>STW Balance as at</t>
  </si>
  <si>
    <t>Accounts Manager's Remarks</t>
  </si>
  <si>
    <t>Certified Correct by:</t>
  </si>
  <si>
    <t>Cocobod Employees Loan</t>
  </si>
  <si>
    <t xml:space="preserve">  </t>
  </si>
  <si>
    <t>NAME</t>
  </si>
  <si>
    <t>Senior Staff Dues</t>
  </si>
  <si>
    <t>Tema Welfare Loan</t>
  </si>
  <si>
    <t xml:space="preserve"> </t>
  </si>
  <si>
    <t>Stanbic Loan</t>
  </si>
  <si>
    <t xml:space="preserve">    </t>
  </si>
  <si>
    <t>FINANCIAL STANDING</t>
  </si>
  <si>
    <t>QCC Welfare Scheme Loan</t>
  </si>
  <si>
    <t>Car Deposit</t>
  </si>
  <si>
    <t>SCF - ADEISO STAFF LAND</t>
  </si>
  <si>
    <t>WF - TEMA WELFARE LOAN</t>
  </si>
  <si>
    <t>SCF- SKYVIEW REALITY LIMITED</t>
  </si>
  <si>
    <t>SCF- CONSOLIDATED BANK GHANA</t>
  </si>
  <si>
    <t>CHED Welfare Scheme Loan</t>
  </si>
  <si>
    <t>WELFARE LOAN</t>
  </si>
  <si>
    <t>QCC WELFARE SCHEME</t>
  </si>
  <si>
    <t>AUDIT</t>
  </si>
  <si>
    <t>SCF -Adeiso Staff Land</t>
  </si>
  <si>
    <t>Salary Advance</t>
  </si>
  <si>
    <t>Repair loan</t>
  </si>
  <si>
    <t>SCF- CRIG CO-OP CREDIT UNION</t>
  </si>
  <si>
    <t>BANK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</si>
</sst>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0_-;\-* #,##0.000_-;_-* &quot;-&quot;??_-;_-@_-"/>
    <numFmt numFmtId="166" formatCode="#,##0.000_);\(#,##0.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ahoma"/>
      <family val="2"/>
    </font>
    <font>
      <b/>
      <u/>
      <sz val="12"/>
      <color theme="1"/>
      <name val="Engravers MT"/>
      <family val="1"/>
    </font>
    <font>
      <b/>
      <sz val="10"/>
      <color indexed="8"/>
      <name val="Microsoft New Tai Lue"/>
      <family val="2"/>
    </font>
    <font>
      <sz val="10"/>
      <color indexed="8"/>
      <name val="Microsoft New Tai Lue"/>
      <family val="2"/>
    </font>
    <font>
      <b/>
      <sz val="10"/>
      <color theme="1"/>
      <name val="Microsoft New Tai Lue"/>
      <family val="2"/>
    </font>
    <font>
      <sz val="8"/>
      <color indexed="8"/>
      <name val="Microsoft New Tai Lue"/>
      <family val="2"/>
    </font>
    <font>
      <b/>
      <u/>
      <sz val="11"/>
      <color theme="1"/>
      <name val="Microsoft New Tai Lue"/>
      <family val="2"/>
    </font>
    <font>
      <sz val="11"/>
      <color theme="1"/>
      <name val="Microsoft New Tai Lue"/>
      <family val="2"/>
    </font>
    <font>
      <b/>
      <i/>
      <sz val="14"/>
      <color theme="1"/>
      <name val="Microsoft New Tai Lue"/>
      <family val="2"/>
    </font>
    <font>
      <b/>
      <i/>
      <sz val="13"/>
      <color theme="1"/>
      <name val="Microsoft New Tai Lue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39" fontId="5" fillId="0" borderId="0" xfId="0" applyNumberFormat="1" applyFont="1"/>
    <xf numFmtId="0" fontId="5" fillId="0" borderId="0" xfId="0" applyFont="1"/>
    <xf numFmtId="15" fontId="5" fillId="0" borderId="0" xfId="1" applyNumberFormat="1" applyFont="1" applyAlignment="1">
      <alignment horizontal="right"/>
    </xf>
    <xf numFmtId="0" fontId="5" fillId="0" borderId="0" xfId="0" quotePrefix="1" applyNumberFormat="1" applyFont="1"/>
    <xf numFmtId="0" fontId="6" fillId="0" borderId="0" xfId="0" applyFont="1"/>
    <xf numFmtId="164" fontId="5" fillId="0" borderId="0" xfId="1" applyNumberFormat="1" applyFont="1"/>
    <xf numFmtId="43" fontId="5" fillId="0" borderId="0" xfId="1" applyFont="1" applyAlignment="1">
      <alignment horizontal="left"/>
    </xf>
    <xf numFmtId="0" fontId="5" fillId="0" borderId="0" xfId="1" applyNumberFormat="1" applyFont="1" applyAlignment="1">
      <alignment horizontal="center" vertical="top"/>
    </xf>
    <xf numFmtId="164" fontId="5" fillId="0" borderId="0" xfId="1" applyNumberFormat="1" applyFont="1" applyAlignment="1">
      <alignment wrapText="1"/>
    </xf>
    <xf numFmtId="43" fontId="5" fillId="0" borderId="0" xfId="1" applyFont="1"/>
    <xf numFmtId="0" fontId="8" fillId="0" borderId="0" xfId="0" applyFont="1"/>
    <xf numFmtId="0" fontId="0" fillId="0" borderId="0" xfId="0" applyNumberFormat="1" applyFill="1" applyBorder="1" applyAlignment="1" applyProtection="1"/>
    <xf numFmtId="0" fontId="9" fillId="0" borderId="0" xfId="0" applyFont="1"/>
    <xf numFmtId="39" fontId="0" fillId="0" borderId="0" xfId="0" applyNumberFormat="1" applyFill="1" applyBorder="1" applyAlignment="1" applyProtection="1"/>
    <xf numFmtId="165" fontId="5" fillId="0" borderId="0" xfId="1" applyNumberFormat="1" applyFont="1"/>
    <xf numFmtId="39" fontId="5" fillId="0" borderId="0" xfId="0" applyNumberFormat="1" applyFont="1" applyFill="1" applyBorder="1" applyAlignment="1" applyProtection="1"/>
    <xf numFmtId="0" fontId="10" fillId="0" borderId="0" xfId="0" applyFont="1"/>
    <xf numFmtId="164" fontId="10" fillId="0" borderId="0" xfId="1" applyNumberFormat="1" applyFont="1"/>
    <xf numFmtId="0" fontId="11" fillId="0" borderId="0" xfId="0" applyFont="1"/>
    <xf numFmtId="9" fontId="10" fillId="0" borderId="0" xfId="2" applyNumberFormat="1" applyFont="1"/>
    <xf numFmtId="0" fontId="7" fillId="0" borderId="0" xfId="0" applyNumberFormat="1" applyFont="1" applyFill="1" applyBorder="1" applyAlignment="1" applyProtection="1">
      <alignment horizontal="right"/>
    </xf>
    <xf numFmtId="43" fontId="0" fillId="0" borderId="0" xfId="0" applyNumberFormat="1"/>
    <xf numFmtId="166" fontId="5" fillId="0" borderId="0" xfId="1" applyNumberFormat="1" applyFont="1"/>
    <xf numFmtId="0" fontId="12" fillId="0" borderId="0" xfId="0" applyFon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SLIP%20DE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CONS/REPORT%20FOR%20NOV%202025/PAYSLI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YAW/MAR%202026%20INPUT/PAYSLI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%20FOR%20APRIL%202026/PAYSLI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AYSLIP%20MAY%202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oan%20pmt/INPUT%20FOR%20MAY,2026/PAYSLIP%20MAY%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7014">
          <cell r="C27014" t="str">
            <v>1150127</v>
          </cell>
        </row>
        <row r="27016">
          <cell r="C27016" t="str">
            <v>AHULU  ELVIS NGMETEY</v>
          </cell>
        </row>
      </sheetData>
      <sheetData sheetId="1"/>
      <sheetData sheetId="2">
        <row r="2013">
          <cell r="G2013">
            <v>1048.5899999999999</v>
          </cell>
        </row>
        <row r="2042">
          <cell r="E2042">
            <v>10485.9167</v>
          </cell>
        </row>
        <row r="2045">
          <cell r="E2045">
            <v>3531.9500000000003</v>
          </cell>
        </row>
        <row r="2048">
          <cell r="E2048">
            <v>786.44</v>
          </cell>
        </row>
        <row r="2050">
          <cell r="J2050">
            <v>7746.67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23037">
          <cell r="C23037" t="str">
            <v>1151997</v>
          </cell>
        </row>
        <row r="47503">
          <cell r="G47503" t="str">
            <v>HEAD OFFICE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41483">
          <cell r="I41483" t="str">
            <v>FIELD OPERATIONS</v>
          </cell>
        </row>
      </sheetData>
      <sheetData sheetId="1" refreshError="1">
        <row r="40956">
          <cell r="C40956" t="str">
            <v>1152267</v>
          </cell>
        </row>
        <row r="40958">
          <cell r="C40958" t="str">
            <v>GAMBO  SAFIANU MOHAMMED</v>
          </cell>
        </row>
        <row r="40960">
          <cell r="G40960" t="str">
            <v>TEMA PORT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1952">
          <cell r="C11952" t="str">
            <v>1137991</v>
          </cell>
        </row>
      </sheetData>
      <sheetData sheetId="1">
        <row r="35497">
          <cell r="E35497">
            <v>7834.1307999999999</v>
          </cell>
        </row>
        <row r="53884">
          <cell r="G53884">
            <v>902.51</v>
          </cell>
        </row>
        <row r="53911">
          <cell r="E53911">
            <v>9025.1115000000009</v>
          </cell>
        </row>
        <row r="53913">
          <cell r="E53913">
            <v>3531.9500000000003</v>
          </cell>
        </row>
        <row r="53917">
          <cell r="E53917">
            <v>676.88</v>
          </cell>
        </row>
        <row r="53919">
          <cell r="J53919">
            <v>9120.5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637">
          <cell r="C1637" t="str">
            <v>1151564</v>
          </cell>
        </row>
        <row r="1639">
          <cell r="C1639" t="str">
            <v>TWUM  CASTRO</v>
          </cell>
        </row>
        <row r="1664">
          <cell r="I1664">
            <v>1666.6000000000001</v>
          </cell>
        </row>
        <row r="1666">
          <cell r="I1666">
            <v>3471.4300000000003</v>
          </cell>
        </row>
        <row r="1672">
          <cell r="I1672">
            <v>2438.2400000000002</v>
          </cell>
        </row>
      </sheetData>
      <sheetData sheetId="2">
        <row r="1003">
          <cell r="G1003">
            <v>1359.93</v>
          </cell>
        </row>
        <row r="2787">
          <cell r="G2787" t="str">
            <v>FIELD OPERATIONS</v>
          </cell>
        </row>
        <row r="2790">
          <cell r="G2790" t="str">
            <v>TEMA PORT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0664">
          <cell r="G20664">
            <v>1127.19</v>
          </cell>
        </row>
        <row r="20691">
          <cell r="E20691">
            <v>11271.936000000002</v>
          </cell>
        </row>
        <row r="20693">
          <cell r="E20693">
            <v>3531.9500000000003</v>
          </cell>
        </row>
        <row r="20695">
          <cell r="E20695">
            <v>1765.98</v>
          </cell>
        </row>
        <row r="20697">
          <cell r="E20697">
            <v>845.4</v>
          </cell>
        </row>
        <row r="20699">
          <cell r="J20699">
            <v>10200.620000000001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9"/>
  <sheetViews>
    <sheetView workbookViewId="0">
      <selection activeCell="J9" sqref="J9"/>
    </sheetView>
  </sheetViews>
  <sheetFormatPr defaultRowHeight="15" x14ac:dyDescent="0.25"/>
  <cols>
    <col min="5" max="5" width="10.42578125" customWidth="1"/>
    <col min="6" max="6" width="11.5703125" customWidth="1"/>
    <col min="7" max="7" width="9.42578125" bestFit="1" customWidth="1"/>
    <col min="8" max="8" width="11" bestFit="1" customWidth="1"/>
    <col min="9" max="9" width="13.85546875" customWidth="1"/>
    <col min="15" max="15" width="9.5703125" bestFit="1" customWidth="1"/>
  </cols>
  <sheetData>
    <row r="1" spans="1:15" ht="18" x14ac:dyDescent="0.25">
      <c r="A1" s="27" t="s">
        <v>57</v>
      </c>
      <c r="B1" s="27"/>
      <c r="C1" s="27"/>
      <c r="D1" s="27"/>
      <c r="E1" s="27"/>
      <c r="F1" s="27"/>
      <c r="G1" s="27"/>
      <c r="H1" s="27"/>
      <c r="I1" s="27"/>
    </row>
    <row r="2" spans="1:15" ht="15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5" ht="15.75" customHeight="1" x14ac:dyDescent="0.3">
      <c r="A3" s="2" t="s">
        <v>51</v>
      </c>
      <c r="B3" s="3" t="str">
        <f>[1]Sheet1!$C$27016</f>
        <v>AHULU  ELVIS NGMETEY</v>
      </c>
      <c r="C3" s="4"/>
      <c r="D3" s="4"/>
      <c r="E3" s="4"/>
      <c r="F3" s="4"/>
      <c r="G3" s="2" t="s">
        <v>0</v>
      </c>
      <c r="H3" s="5"/>
      <c r="I3" s="5">
        <v>46043</v>
      </c>
    </row>
    <row r="4" spans="1:15" ht="15.75" customHeight="1" x14ac:dyDescent="0.3">
      <c r="A4" s="2" t="s">
        <v>1</v>
      </c>
      <c r="B4" s="6" t="str">
        <f>[1]Sheet1!$C$27014</f>
        <v>1150127</v>
      </c>
      <c r="C4" s="4"/>
      <c r="D4" s="4"/>
      <c r="E4" s="4"/>
      <c r="F4" s="4"/>
      <c r="G4" s="7" t="s">
        <v>2</v>
      </c>
      <c r="H4" s="8"/>
      <c r="I4" s="23" t="s">
        <v>65</v>
      </c>
    </row>
    <row r="5" spans="1:15" ht="15.75" customHeight="1" x14ac:dyDescent="0.3">
      <c r="A5" s="2" t="s">
        <v>3</v>
      </c>
      <c r="B5" s="18" t="s">
        <v>67</v>
      </c>
      <c r="C5" s="4"/>
      <c r="D5" s="4"/>
      <c r="E5" s="4"/>
      <c r="F5" s="4"/>
      <c r="G5" s="7" t="s">
        <v>4</v>
      </c>
      <c r="H5" s="8"/>
      <c r="I5" s="9">
        <v>15450</v>
      </c>
    </row>
    <row r="6" spans="1:15" ht="15.75" customHeight="1" x14ac:dyDescent="0.3">
      <c r="A6" s="2" t="s">
        <v>5</v>
      </c>
      <c r="B6" s="4" t="str">
        <f>[2]Sheet2!$G$47503</f>
        <v>HEAD OFFICE</v>
      </c>
      <c r="C6" s="4"/>
      <c r="D6" s="4"/>
      <c r="E6" s="4"/>
      <c r="F6" s="4"/>
      <c r="G6" s="2" t="s">
        <v>6</v>
      </c>
      <c r="H6" s="8"/>
      <c r="I6" s="10">
        <v>24</v>
      </c>
    </row>
    <row r="7" spans="1:15" ht="15.75" customHeight="1" x14ac:dyDescent="0.3">
      <c r="A7" s="4"/>
      <c r="B7" s="4"/>
      <c r="C7" s="4"/>
      <c r="D7" s="4"/>
      <c r="E7" s="4"/>
      <c r="F7" s="4"/>
      <c r="G7" s="4"/>
      <c r="H7" s="8"/>
      <c r="I7" s="8"/>
    </row>
    <row r="8" spans="1:15" ht="15.75" customHeight="1" x14ac:dyDescent="0.3">
      <c r="A8" s="4"/>
      <c r="B8" s="4" t="s">
        <v>7</v>
      </c>
      <c r="C8" s="4"/>
      <c r="D8" s="4"/>
      <c r="E8" s="4"/>
      <c r="F8" s="4"/>
      <c r="G8" s="4" t="s">
        <v>8</v>
      </c>
      <c r="H8" s="11">
        <f>H9*12</f>
        <v>125831.00039999999</v>
      </c>
      <c r="I8" s="8"/>
    </row>
    <row r="9" spans="1:15" ht="15.75" customHeight="1" x14ac:dyDescent="0.3">
      <c r="A9" s="4"/>
      <c r="B9" s="4" t="s">
        <v>9</v>
      </c>
      <c r="C9" s="4"/>
      <c r="D9" s="4"/>
      <c r="E9" s="4"/>
      <c r="F9" s="4"/>
      <c r="G9" s="4" t="s">
        <v>8</v>
      </c>
      <c r="H9" s="11">
        <f>[1]Sheet3!$E$2042</f>
        <v>10485.9167</v>
      </c>
      <c r="I9" s="8"/>
    </row>
    <row r="10" spans="1:15" ht="15.75" customHeight="1" x14ac:dyDescent="0.3">
      <c r="A10" s="4"/>
      <c r="B10" s="4" t="s">
        <v>10</v>
      </c>
      <c r="C10" s="4"/>
      <c r="D10" s="4"/>
      <c r="E10" s="4"/>
      <c r="F10" s="4"/>
      <c r="G10" s="4" t="s">
        <v>8</v>
      </c>
      <c r="H10" s="11">
        <f>[1]Sheet3!$E$2045+[1]Sheet3!$E$2048</f>
        <v>4318.3900000000003</v>
      </c>
      <c r="I10" s="8"/>
    </row>
    <row r="11" spans="1:15" ht="15.75" customHeight="1" x14ac:dyDescent="0.3">
      <c r="A11" s="4"/>
      <c r="B11" s="4" t="s">
        <v>11</v>
      </c>
      <c r="C11" s="4"/>
      <c r="D11" s="4"/>
      <c r="E11" s="4"/>
      <c r="F11" s="4"/>
      <c r="G11" s="4" t="s">
        <v>8</v>
      </c>
      <c r="H11" s="11">
        <f>H9+H10</f>
        <v>14804.306700000001</v>
      </c>
      <c r="I11" s="8"/>
    </row>
    <row r="12" spans="1:15" ht="15.75" customHeight="1" x14ac:dyDescent="0.3">
      <c r="A12" s="2" t="s">
        <v>12</v>
      </c>
      <c r="B12" s="4"/>
      <c r="C12" s="4"/>
      <c r="D12" s="4" t="s">
        <v>8</v>
      </c>
      <c r="E12" s="25">
        <f>[1]Sheet3!$J$2050-[1]Sheet3!$G$2013</f>
        <v>6698.08</v>
      </c>
      <c r="F12" s="4"/>
      <c r="G12" s="4"/>
      <c r="H12" s="11"/>
      <c r="I12" s="8"/>
    </row>
    <row r="13" spans="1:15" ht="15.75" customHeight="1" x14ac:dyDescent="0.3">
      <c r="A13" s="4" t="s">
        <v>13</v>
      </c>
      <c r="B13" s="4"/>
      <c r="C13" s="4"/>
      <c r="D13" s="4"/>
      <c r="E13" s="12">
        <f>I5/I6</f>
        <v>643.75</v>
      </c>
      <c r="F13" s="4"/>
      <c r="G13" s="4"/>
      <c r="H13" s="11"/>
      <c r="I13" s="8"/>
    </row>
    <row r="14" spans="1:15" ht="15.75" customHeight="1" x14ac:dyDescent="0.3">
      <c r="A14" s="2" t="s">
        <v>14</v>
      </c>
      <c r="B14" s="4"/>
      <c r="C14" s="4"/>
      <c r="D14" s="4"/>
      <c r="E14" s="4"/>
      <c r="F14" s="4"/>
      <c r="G14" s="4"/>
      <c r="H14" s="11">
        <f>E12+E13</f>
        <v>7341.83</v>
      </c>
      <c r="I14" s="8"/>
    </row>
    <row r="15" spans="1:15" ht="15.75" customHeight="1" x14ac:dyDescent="0.3">
      <c r="A15" s="2" t="s">
        <v>15</v>
      </c>
      <c r="B15" s="4"/>
      <c r="C15" s="4"/>
      <c r="D15" s="4"/>
      <c r="E15" s="4"/>
      <c r="F15" s="4"/>
      <c r="G15" s="4"/>
      <c r="H15" s="11">
        <f>H11-H14</f>
        <v>7462.4767000000011</v>
      </c>
      <c r="I15" s="8"/>
      <c r="M15" t="s">
        <v>54</v>
      </c>
      <c r="O15" s="24"/>
    </row>
    <row r="16" spans="1:15" ht="15.75" customHeight="1" x14ac:dyDescent="0.3">
      <c r="A16" s="4" t="s">
        <v>16</v>
      </c>
      <c r="B16" s="4"/>
      <c r="C16" s="4"/>
      <c r="D16" s="4"/>
      <c r="E16" s="4"/>
      <c r="F16" s="4"/>
      <c r="G16" s="4"/>
      <c r="H16" s="8">
        <f>H11/2</f>
        <v>7402.1533500000005</v>
      </c>
      <c r="I16" s="8"/>
    </row>
    <row r="17" spans="1:9" ht="16.5" customHeight="1" x14ac:dyDescent="0.35">
      <c r="A17" s="13" t="s">
        <v>17</v>
      </c>
      <c r="B17" s="2"/>
      <c r="C17" s="4"/>
      <c r="D17" s="4"/>
      <c r="E17" s="4"/>
      <c r="F17" s="3"/>
      <c r="G17" s="4"/>
      <c r="H17" s="14"/>
      <c r="I17" s="8"/>
    </row>
    <row r="18" spans="1:9" ht="16.5" customHeight="1" x14ac:dyDescent="0.35">
      <c r="A18" s="15" t="s">
        <v>59</v>
      </c>
      <c r="B18" s="2"/>
      <c r="C18" s="4"/>
      <c r="D18" s="4"/>
      <c r="E18" s="4"/>
      <c r="F18" s="3"/>
      <c r="G18" s="4"/>
      <c r="H18" s="14"/>
      <c r="I18" s="8"/>
    </row>
    <row r="19" spans="1:9" ht="16.5" customHeight="1" x14ac:dyDescent="0.35">
      <c r="A19" s="15" t="s">
        <v>18</v>
      </c>
      <c r="B19" s="4"/>
      <c r="C19" s="4"/>
      <c r="D19" s="4"/>
      <c r="E19" s="16"/>
      <c r="F19" s="3"/>
      <c r="G19" s="3"/>
      <c r="H19" s="8"/>
      <c r="I19" s="17"/>
    </row>
    <row r="20" spans="1:9" ht="15.75" customHeight="1" x14ac:dyDescent="0.3">
      <c r="A20" s="4" t="s">
        <v>19</v>
      </c>
      <c r="B20" s="4"/>
      <c r="C20" s="4"/>
      <c r="D20" s="4"/>
      <c r="E20" s="14"/>
      <c r="F20" s="3"/>
      <c r="G20" s="4"/>
      <c r="H20" s="8"/>
      <c r="I20" s="8"/>
    </row>
    <row r="21" spans="1:9" ht="15.75" customHeight="1" x14ac:dyDescent="0.3">
      <c r="A21" s="4" t="s">
        <v>20</v>
      </c>
      <c r="B21" s="4"/>
      <c r="C21" s="4"/>
      <c r="D21" s="3"/>
      <c r="E21" s="14"/>
      <c r="F21" s="3"/>
      <c r="G21" s="4"/>
      <c r="H21" s="8"/>
      <c r="I21" s="8"/>
    </row>
    <row r="22" spans="1:9" ht="15.75" customHeight="1" x14ac:dyDescent="0.3">
      <c r="A22" s="4" t="s">
        <v>21</v>
      </c>
      <c r="B22" s="4"/>
      <c r="C22" s="4"/>
      <c r="D22" s="4"/>
      <c r="E22" s="16"/>
      <c r="F22" s="18"/>
      <c r="G22" s="4"/>
      <c r="H22" s="8"/>
      <c r="I22" s="8"/>
    </row>
    <row r="23" spans="1:9" ht="15.75" customHeight="1" x14ac:dyDescent="0.3">
      <c r="A23" s="4" t="s">
        <v>22</v>
      </c>
      <c r="B23" s="4"/>
      <c r="C23" s="4"/>
      <c r="D23" s="4"/>
      <c r="E23" s="14"/>
      <c r="F23" s="18"/>
      <c r="G23" s="4"/>
      <c r="H23" s="8"/>
      <c r="I23" s="8"/>
    </row>
    <row r="24" spans="1:9" ht="15.75" customHeight="1" x14ac:dyDescent="0.3">
      <c r="A24" s="4" t="s">
        <v>23</v>
      </c>
      <c r="B24" s="4"/>
      <c r="C24" s="4"/>
      <c r="D24" s="4"/>
      <c r="E24" s="14"/>
      <c r="F24" s="18"/>
      <c r="G24" s="4"/>
      <c r="H24" s="8"/>
      <c r="I24" s="8"/>
    </row>
    <row r="25" spans="1:9" ht="15.75" customHeight="1" x14ac:dyDescent="0.3">
      <c r="A25" s="4" t="s">
        <v>24</v>
      </c>
      <c r="B25" s="4"/>
      <c r="C25" s="4"/>
      <c r="D25" s="4"/>
      <c r="E25" s="14"/>
      <c r="F25" s="3" t="s">
        <v>54</v>
      </c>
      <c r="G25" s="4"/>
      <c r="H25" s="8"/>
      <c r="I25" s="8"/>
    </row>
    <row r="26" spans="1:9" ht="15.75" customHeight="1" x14ac:dyDescent="0.3">
      <c r="A26" s="4" t="s">
        <v>25</v>
      </c>
      <c r="B26" s="4"/>
      <c r="C26" s="4"/>
      <c r="D26" s="4"/>
      <c r="E26" s="16"/>
      <c r="F26" s="18"/>
      <c r="G26" s="3"/>
      <c r="H26" s="8"/>
      <c r="I26" s="8"/>
    </row>
    <row r="27" spans="1:9" ht="15.75" customHeight="1" x14ac:dyDescent="0.3">
      <c r="A27" s="4" t="s">
        <v>26</v>
      </c>
      <c r="B27" s="4"/>
      <c r="C27" s="4"/>
      <c r="D27" s="4"/>
      <c r="E27" s="3"/>
      <c r="F27" s="18"/>
      <c r="G27" s="4"/>
      <c r="H27" s="8"/>
      <c r="I27" s="8"/>
    </row>
    <row r="28" spans="1:9" ht="15.75" customHeight="1" x14ac:dyDescent="0.3">
      <c r="A28" s="4" t="s">
        <v>27</v>
      </c>
      <c r="B28" s="4"/>
      <c r="C28" s="4"/>
      <c r="D28" s="4"/>
      <c r="E28" s="4"/>
      <c r="F28" s="18"/>
      <c r="G28" s="4"/>
      <c r="H28" s="8"/>
      <c r="I28" s="8"/>
    </row>
    <row r="29" spans="1:9" ht="15.75" customHeight="1" x14ac:dyDescent="0.3">
      <c r="A29" s="4" t="s">
        <v>28</v>
      </c>
      <c r="B29" s="4"/>
      <c r="C29" s="4"/>
      <c r="D29" s="4"/>
      <c r="E29" s="4"/>
      <c r="F29" s="8"/>
      <c r="G29" s="3"/>
      <c r="H29" s="8"/>
      <c r="I29" s="8"/>
    </row>
    <row r="30" spans="1:9" ht="15.75" customHeight="1" x14ac:dyDescent="0.3">
      <c r="A30" s="4" t="s">
        <v>29</v>
      </c>
      <c r="B30" s="4"/>
      <c r="C30" s="4"/>
      <c r="D30" s="4"/>
      <c r="E30" s="4"/>
      <c r="F30" s="8"/>
      <c r="G30" s="4"/>
      <c r="H30" s="8"/>
      <c r="I30" s="8"/>
    </row>
    <row r="31" spans="1:9" ht="15.75" customHeight="1" x14ac:dyDescent="0.3">
      <c r="A31" s="4" t="s">
        <v>30</v>
      </c>
      <c r="B31" s="4"/>
      <c r="C31" s="4"/>
      <c r="D31" s="4"/>
      <c r="E31" s="4"/>
      <c r="F31" s="8"/>
      <c r="G31" s="4"/>
      <c r="H31" s="8"/>
      <c r="I31" s="8"/>
    </row>
    <row r="32" spans="1:9" ht="15.75" customHeight="1" x14ac:dyDescent="0.3">
      <c r="A32" s="4" t="s">
        <v>31</v>
      </c>
      <c r="B32" s="4"/>
      <c r="C32" s="4"/>
      <c r="D32" s="4"/>
      <c r="E32" s="4"/>
      <c r="F32" s="8"/>
      <c r="G32" s="4"/>
      <c r="H32" s="8"/>
      <c r="I32" s="8"/>
    </row>
    <row r="33" spans="1:13" ht="15.75" customHeight="1" x14ac:dyDescent="0.3">
      <c r="A33" s="4" t="s">
        <v>32</v>
      </c>
      <c r="B33" s="4"/>
      <c r="C33" s="4"/>
      <c r="D33" s="4"/>
      <c r="E33" s="4"/>
      <c r="F33" s="3"/>
      <c r="G33" s="4"/>
      <c r="H33" s="8"/>
      <c r="I33" s="14"/>
    </row>
    <row r="34" spans="1:13" ht="15.75" customHeight="1" x14ac:dyDescent="0.3">
      <c r="A34" s="4" t="s">
        <v>33</v>
      </c>
      <c r="B34" s="4"/>
      <c r="C34" s="4"/>
      <c r="D34" s="4"/>
      <c r="E34" s="8"/>
      <c r="F34" s="8"/>
      <c r="G34" s="8"/>
      <c r="H34" s="8"/>
      <c r="I34" s="8"/>
    </row>
    <row r="35" spans="1:13" ht="15.75" customHeight="1" x14ac:dyDescent="0.3">
      <c r="A35" s="4" t="s">
        <v>34</v>
      </c>
      <c r="B35" s="4"/>
      <c r="C35" s="4"/>
      <c r="D35" s="4"/>
      <c r="E35" s="4"/>
      <c r="F35" s="8"/>
      <c r="G35" s="4"/>
      <c r="H35" s="8"/>
      <c r="I35" s="8"/>
    </row>
    <row r="36" spans="1:13" ht="15.75" customHeight="1" x14ac:dyDescent="0.3">
      <c r="A36" s="4" t="s">
        <v>35</v>
      </c>
      <c r="B36" s="4"/>
      <c r="C36" s="4" t="s">
        <v>50</v>
      </c>
      <c r="D36" s="4"/>
      <c r="E36" s="4"/>
      <c r="F36" s="8"/>
      <c r="G36" s="4"/>
      <c r="H36" s="8"/>
      <c r="I36" s="8"/>
    </row>
    <row r="37" spans="1:13" ht="22.5" customHeight="1" x14ac:dyDescent="0.3">
      <c r="A37" s="4" t="s">
        <v>36</v>
      </c>
      <c r="B37" s="4"/>
      <c r="C37" s="4"/>
      <c r="D37" s="4"/>
      <c r="E37" s="3"/>
      <c r="F37" s="8"/>
      <c r="G37" s="4"/>
      <c r="H37" s="8"/>
      <c r="I37" s="8"/>
    </row>
    <row r="38" spans="1:13" ht="15.75" customHeight="1" x14ac:dyDescent="0.3">
      <c r="A38" s="4" t="s">
        <v>37</v>
      </c>
      <c r="B38" s="4"/>
      <c r="C38" s="4"/>
      <c r="D38" s="4"/>
      <c r="E38" s="4"/>
      <c r="F38" s="8"/>
      <c r="G38" s="4"/>
      <c r="H38" s="8"/>
      <c r="I38" s="8"/>
    </row>
    <row r="39" spans="1:13" ht="15.75" customHeight="1" x14ac:dyDescent="0.3">
      <c r="A39" s="4" t="s">
        <v>38</v>
      </c>
      <c r="B39" s="4"/>
      <c r="C39" s="4"/>
      <c r="D39" s="4"/>
      <c r="E39" s="4"/>
      <c r="F39" s="8"/>
      <c r="G39" s="4"/>
      <c r="H39" s="8"/>
      <c r="I39" s="8"/>
    </row>
    <row r="40" spans="1:13" ht="15.75" customHeight="1" x14ac:dyDescent="0.3">
      <c r="A40" s="4" t="s">
        <v>49</v>
      </c>
      <c r="B40" s="4"/>
      <c r="C40" s="4"/>
      <c r="D40" s="4"/>
      <c r="E40" s="4"/>
      <c r="F40" s="8"/>
      <c r="G40" s="4"/>
      <c r="H40" s="8"/>
      <c r="I40" s="8"/>
    </row>
    <row r="41" spans="1:13" ht="15.75" customHeight="1" x14ac:dyDescent="0.3">
      <c r="A41" s="4" t="s">
        <v>64</v>
      </c>
      <c r="B41" s="4"/>
      <c r="C41" s="4"/>
      <c r="D41" s="4"/>
      <c r="E41" s="4"/>
      <c r="F41" s="8"/>
      <c r="G41" s="3"/>
      <c r="H41" s="8"/>
      <c r="I41" s="8"/>
    </row>
    <row r="42" spans="1:13" ht="15.75" customHeight="1" x14ac:dyDescent="0.3">
      <c r="A42" s="4" t="s">
        <v>60</v>
      </c>
      <c r="B42" s="4"/>
      <c r="C42" s="4"/>
      <c r="D42" s="4"/>
      <c r="E42" s="4"/>
      <c r="G42" s="3"/>
      <c r="H42" s="8"/>
      <c r="I42" s="8"/>
    </row>
    <row r="43" spans="1:13" ht="15.75" customHeight="1" x14ac:dyDescent="0.3">
      <c r="A43" s="4" t="s">
        <v>52</v>
      </c>
      <c r="B43" s="4"/>
      <c r="C43" s="4"/>
      <c r="D43" s="4"/>
      <c r="E43" s="4"/>
      <c r="F43" s="8"/>
      <c r="G43" s="4"/>
      <c r="H43" s="8"/>
      <c r="I43" s="8"/>
    </row>
    <row r="44" spans="1:13" ht="15.75" customHeight="1" x14ac:dyDescent="0.3">
      <c r="A44" s="4" t="s">
        <v>39</v>
      </c>
      <c r="B44" s="4"/>
      <c r="C44" s="4"/>
      <c r="D44" s="4"/>
      <c r="E44" s="3"/>
      <c r="F44" s="8"/>
      <c r="G44" s="4"/>
      <c r="H44" s="8"/>
      <c r="I44" s="8"/>
      <c r="M44" t="s">
        <v>54</v>
      </c>
    </row>
    <row r="45" spans="1:13" ht="15.75" customHeight="1" x14ac:dyDescent="0.3">
      <c r="A45" s="4" t="s">
        <v>66</v>
      </c>
      <c r="B45" s="4"/>
      <c r="C45" s="4"/>
      <c r="D45" s="4"/>
      <c r="E45" s="3"/>
      <c r="F45" s="8"/>
      <c r="G45" s="4"/>
      <c r="H45" s="8"/>
      <c r="I45" s="8"/>
    </row>
    <row r="46" spans="1:13" ht="15.75" customHeight="1" x14ac:dyDescent="0.3">
      <c r="A46" s="4" t="s">
        <v>40</v>
      </c>
      <c r="B46" s="4"/>
      <c r="C46" s="4"/>
      <c r="D46" s="4"/>
      <c r="E46" s="4"/>
      <c r="F46" s="8"/>
      <c r="G46" s="4"/>
      <c r="H46" s="8"/>
      <c r="I46" s="8"/>
    </row>
    <row r="47" spans="1:13" ht="15.75" customHeight="1" x14ac:dyDescent="0.3">
      <c r="A47" s="4" t="s">
        <v>61</v>
      </c>
      <c r="B47" s="4"/>
      <c r="C47" s="4"/>
      <c r="D47" s="4"/>
      <c r="E47" s="4"/>
      <c r="F47" s="8"/>
      <c r="G47" s="4"/>
      <c r="H47" s="8"/>
      <c r="I47" s="8"/>
    </row>
    <row r="48" spans="1:13" ht="15.75" customHeight="1" x14ac:dyDescent="0.3">
      <c r="A48" s="4" t="s">
        <v>41</v>
      </c>
      <c r="B48" s="4"/>
      <c r="C48" s="4"/>
      <c r="D48" s="4"/>
      <c r="E48" s="4"/>
      <c r="F48" s="8"/>
      <c r="G48" s="4"/>
      <c r="H48" s="8"/>
      <c r="I48" s="8"/>
      <c r="M48" t="s">
        <v>54</v>
      </c>
    </row>
    <row r="49" spans="1:13" ht="15.75" customHeight="1" x14ac:dyDescent="0.3">
      <c r="A49" s="4" t="s">
        <v>55</v>
      </c>
      <c r="B49" s="4"/>
      <c r="C49" s="4"/>
      <c r="D49" s="4"/>
      <c r="E49" s="4"/>
      <c r="F49" s="8"/>
      <c r="G49" s="4"/>
      <c r="H49" s="8"/>
      <c r="I49" s="8"/>
      <c r="M49" t="s">
        <v>56</v>
      </c>
    </row>
    <row r="50" spans="1:13" ht="15.75" customHeight="1" x14ac:dyDescent="0.3">
      <c r="A50" s="4" t="s">
        <v>53</v>
      </c>
      <c r="B50" s="4"/>
      <c r="C50" s="4"/>
      <c r="D50" s="4"/>
      <c r="E50" s="4"/>
      <c r="F50" s="8"/>
      <c r="G50" s="4"/>
      <c r="H50" s="8"/>
      <c r="I50" s="8"/>
    </row>
    <row r="51" spans="1:13" ht="15.75" customHeight="1" x14ac:dyDescent="0.3">
      <c r="A51" s="4" t="s">
        <v>42</v>
      </c>
      <c r="B51" s="4"/>
      <c r="C51" s="4"/>
      <c r="D51" s="4"/>
      <c r="E51" s="4"/>
      <c r="F51" s="8"/>
      <c r="G51" s="4"/>
      <c r="H51" s="8"/>
      <c r="I51" s="8"/>
    </row>
    <row r="52" spans="1:13" ht="20.25" customHeight="1" x14ac:dyDescent="0.3">
      <c r="A52" s="4" t="s">
        <v>43</v>
      </c>
      <c r="B52" s="4"/>
      <c r="C52" s="4"/>
      <c r="D52" s="4"/>
      <c r="E52" s="4"/>
      <c r="F52" s="8">
        <f>I5</f>
        <v>15450</v>
      </c>
      <c r="G52" s="4"/>
      <c r="H52" s="8"/>
      <c r="I52" s="8"/>
    </row>
    <row r="53" spans="1:13" ht="20.25" customHeight="1" x14ac:dyDescent="0.4">
      <c r="A53" s="4"/>
      <c r="B53" s="4"/>
      <c r="C53" s="19"/>
      <c r="D53" s="4"/>
      <c r="E53" s="4"/>
      <c r="F53" s="8">
        <f>SUM(F19:F52)</f>
        <v>15450</v>
      </c>
      <c r="G53" s="4"/>
      <c r="H53" s="8"/>
      <c r="I53" s="20"/>
    </row>
    <row r="54" spans="1:13" ht="20.25" customHeight="1" x14ac:dyDescent="0.4">
      <c r="A54" s="21" t="s">
        <v>44</v>
      </c>
      <c r="B54" s="19"/>
      <c r="C54" s="4"/>
      <c r="D54" s="19"/>
      <c r="E54" s="19"/>
      <c r="F54" s="22">
        <f>H15/H11</f>
        <v>0.50407471631211209</v>
      </c>
      <c r="G54" s="19"/>
      <c r="H54" s="8"/>
      <c r="I54" s="8"/>
    </row>
    <row r="55" spans="1:13" ht="15.75" customHeight="1" x14ac:dyDescent="0.4">
      <c r="A55" s="4"/>
      <c r="B55" s="4"/>
      <c r="C55" s="4"/>
      <c r="D55" s="4"/>
      <c r="E55" s="4"/>
      <c r="F55" s="8"/>
      <c r="G55" s="2" t="s">
        <v>45</v>
      </c>
      <c r="H55" s="20"/>
      <c r="I55" s="8"/>
    </row>
    <row r="56" spans="1:13" ht="15.75" customHeight="1" x14ac:dyDescent="0.3">
      <c r="A56" s="4"/>
      <c r="B56" s="4"/>
      <c r="C56" s="4"/>
      <c r="D56" s="4"/>
      <c r="E56" s="4" t="s">
        <v>50</v>
      </c>
      <c r="F56" s="8"/>
      <c r="G56" s="2"/>
      <c r="H56" s="5">
        <f>I3</f>
        <v>46043</v>
      </c>
      <c r="I56" s="8"/>
    </row>
    <row r="57" spans="1:13" ht="15.75" customHeight="1" x14ac:dyDescent="0.3">
      <c r="A57" s="4" t="s">
        <v>46</v>
      </c>
      <c r="B57" s="4"/>
      <c r="C57" s="4"/>
      <c r="D57" s="4"/>
      <c r="E57" s="4"/>
      <c r="F57" s="8"/>
      <c r="G57" s="14"/>
      <c r="H57" s="14"/>
      <c r="I57" s="8"/>
    </row>
    <row r="58" spans="1:13" ht="15.75" x14ac:dyDescent="0.3">
      <c r="A58" s="2" t="s">
        <v>47</v>
      </c>
      <c r="B58" s="4"/>
      <c r="C58" s="14"/>
      <c r="D58" s="4"/>
      <c r="E58" s="4"/>
      <c r="F58" s="8"/>
      <c r="G58" s="2" t="s">
        <v>48</v>
      </c>
      <c r="H58" s="8"/>
      <c r="I58" s="14"/>
    </row>
    <row r="59" spans="1:13" ht="15.75" x14ac:dyDescent="0.3">
      <c r="A59" s="14"/>
      <c r="B59" s="14"/>
      <c r="C59" s="14"/>
      <c r="D59" s="14"/>
      <c r="E59" s="14"/>
      <c r="F59" s="14"/>
      <c r="G59" s="14"/>
      <c r="H59" s="8"/>
      <c r="I59" s="14"/>
    </row>
  </sheetData>
  <mergeCells count="1">
    <mergeCell ref="A1:I1"/>
  </mergeCells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workbookViewId="0">
      <selection sqref="A1:XFD1048576"/>
    </sheetView>
  </sheetViews>
  <sheetFormatPr defaultRowHeight="15" x14ac:dyDescent="0.25"/>
  <cols>
    <col min="5" max="5" width="10.42578125" customWidth="1"/>
    <col min="6" max="6" width="11.5703125" customWidth="1"/>
    <col min="7" max="7" width="9.42578125" bestFit="1" customWidth="1"/>
    <col min="8" max="8" width="11" bestFit="1" customWidth="1"/>
    <col min="9" max="9" width="13.85546875" customWidth="1"/>
    <col min="15" max="15" width="9.5703125" bestFit="1" customWidth="1"/>
  </cols>
  <sheetData>
    <row r="1" spans="1:15" ht="18" x14ac:dyDescent="0.25">
      <c r="A1" s="27" t="s">
        <v>57</v>
      </c>
      <c r="B1" s="27"/>
      <c r="C1" s="27"/>
      <c r="D1" s="27"/>
      <c r="E1" s="27"/>
      <c r="F1" s="27"/>
      <c r="G1" s="27"/>
      <c r="H1" s="27"/>
      <c r="I1" s="27"/>
    </row>
    <row r="2" spans="1:15" ht="15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5" ht="15.75" customHeight="1" x14ac:dyDescent="0.3">
      <c r="A3" s="2" t="s">
        <v>51</v>
      </c>
      <c r="B3" s="3" t="str">
        <f>[3]Sheet2!$C$40958</f>
        <v>GAMBO  SAFIANU MOHAMMED</v>
      </c>
      <c r="C3" s="4"/>
      <c r="D3" s="4"/>
      <c r="E3" s="4"/>
      <c r="F3" s="4"/>
      <c r="G3" s="2" t="s">
        <v>0</v>
      </c>
      <c r="H3" s="5"/>
      <c r="I3" s="5">
        <v>46139</v>
      </c>
    </row>
    <row r="4" spans="1:15" ht="15.75" customHeight="1" x14ac:dyDescent="0.3">
      <c r="A4" s="2" t="s">
        <v>1</v>
      </c>
      <c r="B4" s="6" t="str">
        <f>[3]Sheet2!$C$40956</f>
        <v>1152267</v>
      </c>
      <c r="C4" s="4"/>
      <c r="D4" s="4"/>
      <c r="E4" s="4"/>
      <c r="F4" s="4"/>
      <c r="G4" s="7" t="s">
        <v>2</v>
      </c>
      <c r="H4" s="8"/>
      <c r="I4" s="23" t="s">
        <v>72</v>
      </c>
    </row>
    <row r="5" spans="1:15" ht="15.75" customHeight="1" x14ac:dyDescent="0.3">
      <c r="A5" s="2" t="s">
        <v>3</v>
      </c>
      <c r="B5" s="18" t="str">
        <f>[3]Sheet1!$I$41483</f>
        <v>FIELD OPERATIONS</v>
      </c>
      <c r="C5" s="4"/>
      <c r="D5" s="4"/>
      <c r="E5" s="4"/>
      <c r="F5" s="4"/>
      <c r="G5" s="7" t="s">
        <v>4</v>
      </c>
      <c r="H5" s="8"/>
      <c r="I5" s="9">
        <f>230.19*60</f>
        <v>13811.4</v>
      </c>
    </row>
    <row r="6" spans="1:15" ht="15.75" customHeight="1" x14ac:dyDescent="0.3">
      <c r="A6" s="2" t="s">
        <v>5</v>
      </c>
      <c r="B6" s="4" t="str">
        <f>[3]Sheet2!$G$40960</f>
        <v>TEMA PORT</v>
      </c>
      <c r="C6" s="4"/>
      <c r="D6" s="4"/>
      <c r="E6" s="4"/>
      <c r="F6" s="4"/>
      <c r="G6" s="2" t="s">
        <v>6</v>
      </c>
      <c r="H6" s="8"/>
      <c r="I6" s="10">
        <v>60</v>
      </c>
    </row>
    <row r="7" spans="1:15" ht="15.75" customHeight="1" x14ac:dyDescent="0.3">
      <c r="A7" s="4"/>
      <c r="B7" s="4"/>
      <c r="C7" s="4"/>
      <c r="D7" s="4"/>
      <c r="E7" s="4"/>
      <c r="F7" s="4"/>
      <c r="G7" s="4"/>
      <c r="H7" s="8"/>
      <c r="I7" s="8"/>
    </row>
    <row r="8" spans="1:15" ht="15.75" customHeight="1" x14ac:dyDescent="0.3">
      <c r="A8" s="4"/>
      <c r="B8" s="4" t="s">
        <v>7</v>
      </c>
      <c r="C8" s="4"/>
      <c r="D8" s="4"/>
      <c r="E8" s="4"/>
      <c r="F8" s="4"/>
      <c r="G8" s="4" t="s">
        <v>8</v>
      </c>
      <c r="H8" s="11">
        <f>H9*12</f>
        <v>108301.33800000002</v>
      </c>
      <c r="I8" s="8"/>
    </row>
    <row r="9" spans="1:15" ht="15.75" customHeight="1" x14ac:dyDescent="0.3">
      <c r="A9" s="4"/>
      <c r="B9" s="4" t="s">
        <v>9</v>
      </c>
      <c r="C9" s="4"/>
      <c r="D9" s="4"/>
      <c r="E9" s="4"/>
      <c r="F9" s="4"/>
      <c r="G9" s="4" t="s">
        <v>8</v>
      </c>
      <c r="H9" s="11">
        <f>[4]Sheet2!$E$53911</f>
        <v>9025.1115000000009</v>
      </c>
      <c r="I9" s="8"/>
    </row>
    <row r="10" spans="1:15" ht="15.75" customHeight="1" x14ac:dyDescent="0.3">
      <c r="A10" s="4"/>
      <c r="B10" s="4" t="s">
        <v>10</v>
      </c>
      <c r="C10" s="4"/>
      <c r="D10" s="4"/>
      <c r="E10" s="4"/>
      <c r="F10" s="4"/>
      <c r="G10" s="4" t="s">
        <v>8</v>
      </c>
      <c r="H10" s="11">
        <f>[4]Sheet2!$E$53913+[4]Sheet2!$E$53917</f>
        <v>4208.83</v>
      </c>
      <c r="I10" s="8"/>
    </row>
    <row r="11" spans="1:15" ht="15.75" customHeight="1" x14ac:dyDescent="0.3">
      <c r="A11" s="4"/>
      <c r="B11" s="4" t="s">
        <v>11</v>
      </c>
      <c r="C11" s="4"/>
      <c r="D11" s="4"/>
      <c r="E11" s="4"/>
      <c r="F11" s="4"/>
      <c r="G11" s="4" t="s">
        <v>8</v>
      </c>
      <c r="H11" s="11">
        <f>H9+H10</f>
        <v>13233.941500000001</v>
      </c>
      <c r="I11" s="8"/>
    </row>
    <row r="12" spans="1:15" ht="15.75" customHeight="1" x14ac:dyDescent="0.3">
      <c r="A12" s="2" t="s">
        <v>12</v>
      </c>
      <c r="B12" s="4"/>
      <c r="C12" s="4"/>
      <c r="D12" s="4" t="s">
        <v>8</v>
      </c>
      <c r="E12" s="25">
        <f>[4]Sheet2!$J$53919-[4]Sheet2!$G$53884</f>
        <v>8217.99</v>
      </c>
      <c r="F12" s="4"/>
      <c r="G12" s="4"/>
      <c r="H12" s="11"/>
      <c r="I12" s="8"/>
    </row>
    <row r="13" spans="1:15" ht="15.75" customHeight="1" x14ac:dyDescent="0.3">
      <c r="A13" s="4" t="s">
        <v>13</v>
      </c>
      <c r="B13" s="4"/>
      <c r="C13" s="4"/>
      <c r="D13" s="4"/>
      <c r="E13" s="12">
        <f>I5/I6</f>
        <v>230.19</v>
      </c>
      <c r="F13" s="4"/>
      <c r="G13" s="4"/>
      <c r="H13" s="11"/>
      <c r="I13" s="8"/>
    </row>
    <row r="14" spans="1:15" ht="15.75" customHeight="1" x14ac:dyDescent="0.3">
      <c r="A14" s="2" t="s">
        <v>14</v>
      </c>
      <c r="B14" s="4"/>
      <c r="C14" s="4"/>
      <c r="D14" s="4"/>
      <c r="E14" s="4"/>
      <c r="F14" s="4"/>
      <c r="G14" s="4"/>
      <c r="H14" s="11">
        <f>E12+E13</f>
        <v>8448.18</v>
      </c>
      <c r="I14" s="8"/>
    </row>
    <row r="15" spans="1:15" ht="15.75" customHeight="1" x14ac:dyDescent="0.3">
      <c r="A15" s="2" t="s">
        <v>15</v>
      </c>
      <c r="B15" s="4"/>
      <c r="C15" s="4"/>
      <c r="D15" s="4"/>
      <c r="E15" s="4"/>
      <c r="F15" s="4"/>
      <c r="G15" s="4"/>
      <c r="H15" s="11">
        <f>H11-H14</f>
        <v>4785.7615000000005</v>
      </c>
      <c r="I15" s="8"/>
      <c r="M15" t="s">
        <v>54</v>
      </c>
      <c r="O15" s="24"/>
    </row>
    <row r="16" spans="1:15" ht="15.75" customHeight="1" x14ac:dyDescent="0.3">
      <c r="A16" s="4" t="s">
        <v>16</v>
      </c>
      <c r="B16" s="4"/>
      <c r="C16" s="4"/>
      <c r="D16" s="4"/>
      <c r="E16" s="4"/>
      <c r="F16" s="4"/>
      <c r="G16" s="4"/>
      <c r="H16" s="8">
        <f>H11/2</f>
        <v>6616.9707500000004</v>
      </c>
      <c r="I16" s="8"/>
    </row>
    <row r="17" spans="1:13" ht="16.5" customHeight="1" x14ac:dyDescent="0.35">
      <c r="A17" s="13" t="s">
        <v>17</v>
      </c>
      <c r="B17" s="2"/>
      <c r="C17" s="4"/>
      <c r="D17" s="4"/>
      <c r="E17" s="4"/>
      <c r="F17" s="3"/>
      <c r="G17" s="4"/>
      <c r="H17" s="14"/>
      <c r="I17" s="8"/>
    </row>
    <row r="18" spans="1:13" ht="16.5" customHeight="1" x14ac:dyDescent="0.35">
      <c r="A18" s="15" t="s">
        <v>59</v>
      </c>
      <c r="B18" s="2"/>
      <c r="C18" s="4"/>
      <c r="D18" s="4"/>
      <c r="E18" s="4"/>
      <c r="F18" s="3"/>
      <c r="G18" s="4"/>
      <c r="H18" s="14"/>
      <c r="I18" s="8"/>
    </row>
    <row r="19" spans="1:13" ht="16.5" customHeight="1" x14ac:dyDescent="0.35">
      <c r="A19" s="15" t="s">
        <v>18</v>
      </c>
      <c r="B19" s="4"/>
      <c r="C19" s="4"/>
      <c r="D19" s="4"/>
      <c r="E19" s="16"/>
      <c r="F19" s="3"/>
      <c r="G19" s="3"/>
      <c r="H19" s="8"/>
      <c r="I19" s="17"/>
      <c r="M19" s="26"/>
    </row>
    <row r="20" spans="1:13" ht="15.75" customHeight="1" x14ac:dyDescent="0.3">
      <c r="A20" s="4" t="s">
        <v>19</v>
      </c>
      <c r="B20" s="4"/>
      <c r="C20" s="4"/>
      <c r="D20" s="4"/>
      <c r="E20" s="16"/>
      <c r="F20" s="3"/>
      <c r="G20" s="4"/>
      <c r="H20" s="8"/>
      <c r="I20" s="8"/>
    </row>
    <row r="21" spans="1:13" ht="15.75" customHeight="1" x14ac:dyDescent="0.3">
      <c r="A21" s="4" t="s">
        <v>20</v>
      </c>
      <c r="B21" s="4"/>
      <c r="C21" s="4"/>
      <c r="D21" s="3"/>
      <c r="E21" s="14"/>
      <c r="F21" s="3"/>
      <c r="G21" s="4"/>
      <c r="H21" s="8"/>
      <c r="I21" s="8"/>
    </row>
    <row r="22" spans="1:13" ht="15.75" customHeight="1" x14ac:dyDescent="0.3">
      <c r="A22" s="4" t="s">
        <v>21</v>
      </c>
      <c r="B22" s="4"/>
      <c r="C22" s="4"/>
      <c r="D22" s="4"/>
      <c r="E22" s="16"/>
      <c r="F22" s="18"/>
      <c r="G22" s="4"/>
      <c r="H22" s="8"/>
      <c r="I22" s="8"/>
    </row>
    <row r="23" spans="1:13" ht="15.75" customHeight="1" x14ac:dyDescent="0.3">
      <c r="A23" s="4" t="s">
        <v>22</v>
      </c>
      <c r="B23" s="4"/>
      <c r="C23" s="4"/>
      <c r="D23" s="4"/>
      <c r="E23" s="16"/>
      <c r="F23" s="18"/>
      <c r="G23" s="4"/>
      <c r="H23" s="8"/>
      <c r="I23" s="8"/>
    </row>
    <row r="24" spans="1:13" ht="15.75" customHeight="1" x14ac:dyDescent="0.3">
      <c r="A24" s="4" t="s">
        <v>23</v>
      </c>
      <c r="B24" s="4"/>
      <c r="C24" s="4"/>
      <c r="D24" s="4"/>
      <c r="E24" s="14"/>
      <c r="F24" s="18"/>
      <c r="G24" s="4"/>
      <c r="H24" s="8"/>
      <c r="I24" s="8"/>
    </row>
    <row r="25" spans="1:13" ht="15.75" customHeight="1" x14ac:dyDescent="0.3">
      <c r="A25" s="4" t="s">
        <v>24</v>
      </c>
      <c r="B25" s="4"/>
      <c r="C25" s="4"/>
      <c r="D25" s="4"/>
      <c r="E25" s="14"/>
      <c r="F25" s="3"/>
      <c r="G25" s="3"/>
      <c r="H25" s="8"/>
      <c r="I25" s="8"/>
    </row>
    <row r="26" spans="1:13" ht="15.75" customHeight="1" x14ac:dyDescent="0.3">
      <c r="A26" s="4" t="s">
        <v>70</v>
      </c>
      <c r="B26" s="4"/>
      <c r="C26" s="4"/>
      <c r="D26" s="4"/>
      <c r="E26" s="14"/>
      <c r="F26" s="3"/>
      <c r="G26" s="3"/>
      <c r="H26" s="8"/>
      <c r="I26" s="8"/>
    </row>
    <row r="27" spans="1:13" ht="15.75" customHeight="1" x14ac:dyDescent="0.3">
      <c r="A27" s="4" t="s">
        <v>25</v>
      </c>
      <c r="B27" s="4"/>
      <c r="C27" s="4"/>
      <c r="D27" s="4"/>
      <c r="E27" s="16"/>
      <c r="F27" s="18"/>
      <c r="G27" s="3"/>
      <c r="H27" s="8"/>
      <c r="I27" s="8"/>
    </row>
    <row r="28" spans="1:13" ht="15.75" customHeight="1" x14ac:dyDescent="0.3">
      <c r="A28" s="4" t="s">
        <v>26</v>
      </c>
      <c r="B28" s="4"/>
      <c r="C28" s="4"/>
      <c r="D28" s="4"/>
      <c r="E28" s="3"/>
      <c r="F28" s="18"/>
      <c r="G28" s="4"/>
      <c r="H28" s="8"/>
      <c r="I28" s="8"/>
    </row>
    <row r="29" spans="1:13" ht="15.75" customHeight="1" x14ac:dyDescent="0.3">
      <c r="A29" s="4" t="s">
        <v>27</v>
      </c>
      <c r="B29" s="4"/>
      <c r="C29" s="4"/>
      <c r="D29" s="4"/>
      <c r="E29" s="4"/>
      <c r="F29" s="18"/>
      <c r="G29" s="4"/>
      <c r="H29" s="8"/>
      <c r="I29" s="8"/>
    </row>
    <row r="30" spans="1:13" ht="15.75" customHeight="1" x14ac:dyDescent="0.3">
      <c r="A30" s="4" t="s">
        <v>28</v>
      </c>
      <c r="B30" s="4"/>
      <c r="C30" s="4"/>
      <c r="D30" s="4"/>
      <c r="E30" s="4"/>
      <c r="F30" s="8"/>
      <c r="G30" s="3"/>
      <c r="H30" s="8"/>
      <c r="I30" s="8"/>
    </row>
    <row r="31" spans="1:13" ht="15.75" customHeight="1" x14ac:dyDescent="0.3">
      <c r="A31" s="4" t="s">
        <v>29</v>
      </c>
      <c r="B31" s="4"/>
      <c r="C31" s="4"/>
      <c r="D31" s="4"/>
      <c r="E31" s="4"/>
      <c r="F31" s="8"/>
      <c r="G31" s="4"/>
      <c r="H31" s="8"/>
      <c r="I31" s="8"/>
    </row>
    <row r="32" spans="1:13" ht="15.75" customHeight="1" x14ac:dyDescent="0.3">
      <c r="A32" s="4" t="s">
        <v>30</v>
      </c>
      <c r="B32" s="4"/>
      <c r="C32" s="4"/>
      <c r="D32" s="4"/>
      <c r="E32" s="4"/>
      <c r="F32" s="8"/>
      <c r="G32" s="4"/>
      <c r="H32" s="8"/>
      <c r="I32" s="8"/>
    </row>
    <row r="33" spans="1:13" ht="15.75" customHeight="1" x14ac:dyDescent="0.3">
      <c r="A33" s="4" t="s">
        <v>31</v>
      </c>
      <c r="B33" s="4"/>
      <c r="C33" s="4"/>
      <c r="D33" s="4"/>
      <c r="E33" s="4"/>
      <c r="F33" s="8"/>
      <c r="G33" s="4"/>
      <c r="H33" s="8"/>
      <c r="I33" s="8"/>
    </row>
    <row r="34" spans="1:13" ht="15.75" customHeight="1" x14ac:dyDescent="0.3">
      <c r="A34" s="4" t="s">
        <v>32</v>
      </c>
      <c r="B34" s="4"/>
      <c r="C34" s="4"/>
      <c r="D34" s="4"/>
      <c r="E34" s="4"/>
      <c r="F34" s="3"/>
      <c r="G34" s="4"/>
      <c r="H34" s="8"/>
      <c r="I34" s="14"/>
    </row>
    <row r="35" spans="1:13" ht="15.75" customHeight="1" x14ac:dyDescent="0.3">
      <c r="A35" s="4" t="s">
        <v>33</v>
      </c>
      <c r="B35" s="4"/>
      <c r="C35" s="4"/>
      <c r="D35" s="4"/>
      <c r="E35" s="8"/>
      <c r="F35" s="8"/>
      <c r="G35" s="8"/>
      <c r="H35" s="8"/>
      <c r="I35" s="8"/>
    </row>
    <row r="36" spans="1:13" ht="15.75" customHeight="1" x14ac:dyDescent="0.3">
      <c r="A36" s="4" t="s">
        <v>34</v>
      </c>
      <c r="B36" s="4"/>
      <c r="C36" s="4"/>
      <c r="D36" s="4"/>
      <c r="E36" s="4"/>
      <c r="F36" s="8"/>
      <c r="G36" s="4"/>
      <c r="H36" s="8"/>
      <c r="I36" s="8"/>
    </row>
    <row r="37" spans="1:13" ht="15.75" customHeight="1" x14ac:dyDescent="0.3">
      <c r="A37" s="4" t="s">
        <v>35</v>
      </c>
      <c r="B37" s="4"/>
      <c r="C37" s="4" t="s">
        <v>50</v>
      </c>
      <c r="D37" s="4"/>
      <c r="E37" s="4"/>
      <c r="F37" s="8"/>
      <c r="G37" s="4"/>
      <c r="H37" s="8"/>
      <c r="I37" s="8"/>
    </row>
    <row r="38" spans="1:13" ht="12" customHeight="1" x14ac:dyDescent="0.3">
      <c r="A38" s="4" t="s">
        <v>36</v>
      </c>
      <c r="B38" s="4"/>
      <c r="C38" s="4"/>
      <c r="D38" s="4"/>
      <c r="E38" s="3"/>
      <c r="F38" s="8"/>
      <c r="G38" s="4"/>
      <c r="H38" s="8"/>
      <c r="I38" s="8"/>
    </row>
    <row r="39" spans="1:13" ht="15.75" customHeight="1" x14ac:dyDescent="0.3">
      <c r="A39" s="4" t="s">
        <v>37</v>
      </c>
      <c r="B39" s="4"/>
      <c r="C39" s="4"/>
      <c r="D39" s="4"/>
      <c r="E39" s="4"/>
      <c r="F39" s="8"/>
      <c r="G39" s="4"/>
      <c r="H39" s="8"/>
      <c r="I39" s="8"/>
    </row>
    <row r="40" spans="1:13" ht="15.75" customHeight="1" x14ac:dyDescent="0.3">
      <c r="A40" s="4" t="s">
        <v>62</v>
      </c>
      <c r="B40" s="4"/>
      <c r="C40" s="4"/>
      <c r="D40" s="4"/>
      <c r="E40" s="4"/>
      <c r="F40" s="8"/>
      <c r="G40" s="4"/>
      <c r="H40" s="8"/>
      <c r="I40" s="8"/>
    </row>
    <row r="41" spans="1:13" ht="15.75" customHeight="1" x14ac:dyDescent="0.3">
      <c r="A41" s="4" t="s">
        <v>38</v>
      </c>
      <c r="B41" s="4"/>
      <c r="C41" s="4"/>
      <c r="D41" s="4"/>
      <c r="E41" s="4"/>
      <c r="F41" s="8"/>
      <c r="G41" s="4"/>
      <c r="H41" s="8"/>
      <c r="I41" s="8"/>
    </row>
    <row r="42" spans="1:13" ht="15.75" customHeight="1" x14ac:dyDescent="0.3">
      <c r="A42" s="4" t="s">
        <v>49</v>
      </c>
      <c r="B42" s="4"/>
      <c r="C42" s="4"/>
      <c r="D42" s="4"/>
      <c r="E42" s="4"/>
      <c r="F42" s="8"/>
      <c r="G42" s="3"/>
      <c r="H42" s="8"/>
      <c r="I42" s="8"/>
    </row>
    <row r="43" spans="1:13" ht="15.75" customHeight="1" x14ac:dyDescent="0.3">
      <c r="A43" s="4" t="s">
        <v>58</v>
      </c>
      <c r="B43" s="4"/>
      <c r="C43" s="4"/>
      <c r="D43" s="4"/>
      <c r="E43" s="4"/>
      <c r="F43" s="8"/>
      <c r="G43" s="3"/>
      <c r="H43" s="8"/>
      <c r="I43" s="8"/>
    </row>
    <row r="44" spans="1:13" ht="15.75" customHeight="1" x14ac:dyDescent="0.3">
      <c r="A44" s="4" t="s">
        <v>71</v>
      </c>
      <c r="B44" s="4"/>
      <c r="C44" s="4"/>
      <c r="D44" s="4"/>
      <c r="E44" s="4"/>
      <c r="F44" s="8"/>
      <c r="G44" s="3"/>
      <c r="H44" s="8"/>
      <c r="I44" s="8"/>
    </row>
    <row r="45" spans="1:13" ht="15.75" customHeight="1" x14ac:dyDescent="0.3">
      <c r="A45" s="4" t="s">
        <v>69</v>
      </c>
      <c r="B45" s="4"/>
      <c r="C45" s="4"/>
      <c r="D45" s="4"/>
      <c r="E45" s="4"/>
      <c r="F45" s="8"/>
      <c r="G45" s="3"/>
      <c r="H45" s="8"/>
      <c r="I45" s="8"/>
    </row>
    <row r="46" spans="1:13" ht="15.75" customHeight="1" x14ac:dyDescent="0.3">
      <c r="A46" s="4" t="s">
        <v>52</v>
      </c>
      <c r="B46" s="4"/>
      <c r="C46" s="4"/>
      <c r="D46" s="4"/>
      <c r="E46" s="4"/>
      <c r="F46" s="8"/>
      <c r="G46" s="4"/>
      <c r="H46" s="8"/>
      <c r="I46" s="8"/>
    </row>
    <row r="47" spans="1:13" ht="15.75" customHeight="1" x14ac:dyDescent="0.3">
      <c r="A47" s="4" t="s">
        <v>63</v>
      </c>
      <c r="B47" s="4"/>
      <c r="C47" s="4"/>
      <c r="D47" s="4"/>
      <c r="E47" s="4"/>
      <c r="F47" s="8"/>
      <c r="G47" s="4"/>
      <c r="H47" s="8"/>
      <c r="I47" s="8"/>
    </row>
    <row r="48" spans="1:13" ht="15.75" customHeight="1" x14ac:dyDescent="0.3">
      <c r="A48" s="4" t="s">
        <v>39</v>
      </c>
      <c r="B48" s="4"/>
      <c r="C48" s="4"/>
      <c r="D48" s="4"/>
      <c r="E48" s="3"/>
      <c r="F48" s="8"/>
      <c r="G48" s="4"/>
      <c r="H48" s="8"/>
      <c r="I48" s="8"/>
      <c r="M48" t="s">
        <v>54</v>
      </c>
    </row>
    <row r="49" spans="1:13" ht="15.75" customHeight="1" x14ac:dyDescent="0.3">
      <c r="A49" s="4" t="s">
        <v>68</v>
      </c>
      <c r="B49" s="4"/>
      <c r="C49" s="4"/>
      <c r="D49" s="4"/>
      <c r="E49" s="3"/>
      <c r="F49" s="8"/>
      <c r="G49" s="4"/>
      <c r="H49" s="8"/>
      <c r="I49" s="8"/>
    </row>
    <row r="50" spans="1:13" ht="15.75" customHeight="1" x14ac:dyDescent="0.3">
      <c r="A50" s="4" t="s">
        <v>40</v>
      </c>
      <c r="B50" s="4"/>
      <c r="C50" s="4"/>
      <c r="D50" s="4"/>
      <c r="E50" s="4"/>
      <c r="F50" s="8"/>
      <c r="G50" s="4"/>
      <c r="H50" s="8"/>
      <c r="I50" s="8"/>
    </row>
    <row r="51" spans="1:13" ht="15.75" customHeight="1" x14ac:dyDescent="0.3">
      <c r="A51" s="4" t="s">
        <v>68</v>
      </c>
      <c r="B51" s="4"/>
      <c r="C51" s="4"/>
      <c r="D51" s="4"/>
      <c r="E51" s="4"/>
      <c r="F51" s="8"/>
      <c r="G51" s="4"/>
      <c r="H51" s="8"/>
      <c r="I51" s="8"/>
    </row>
    <row r="52" spans="1:13" ht="15.75" customHeight="1" x14ac:dyDescent="0.3">
      <c r="A52" s="4" t="s">
        <v>41</v>
      </c>
      <c r="B52" s="4"/>
      <c r="C52" s="4"/>
      <c r="D52" s="4"/>
      <c r="E52" s="4"/>
      <c r="F52" s="8"/>
      <c r="G52" s="4"/>
      <c r="H52" s="8"/>
      <c r="I52" s="8"/>
      <c r="M52" t="s">
        <v>54</v>
      </c>
    </row>
    <row r="53" spans="1:13" ht="15.75" customHeight="1" x14ac:dyDescent="0.3">
      <c r="A53" s="4" t="s">
        <v>55</v>
      </c>
      <c r="B53" s="4"/>
      <c r="C53" s="4"/>
      <c r="D53" s="4"/>
      <c r="E53" s="3"/>
      <c r="F53" s="8"/>
      <c r="G53" s="4"/>
      <c r="H53" s="8"/>
      <c r="I53" s="8"/>
      <c r="M53" t="s">
        <v>56</v>
      </c>
    </row>
    <row r="54" spans="1:13" ht="15.75" customHeight="1" x14ac:dyDescent="0.3">
      <c r="A54" s="4" t="s">
        <v>69</v>
      </c>
      <c r="B54" s="4"/>
      <c r="C54" s="4"/>
      <c r="D54" s="4"/>
      <c r="E54" s="3"/>
      <c r="F54" s="8"/>
      <c r="G54" s="4"/>
      <c r="H54" s="8"/>
      <c r="I54" s="8"/>
    </row>
    <row r="55" spans="1:13" ht="15.75" customHeight="1" x14ac:dyDescent="0.3">
      <c r="A55" s="4" t="s">
        <v>53</v>
      </c>
      <c r="B55" s="4"/>
      <c r="C55" s="4"/>
      <c r="D55" s="4"/>
      <c r="E55" s="4"/>
      <c r="F55" s="8"/>
      <c r="G55" s="4"/>
      <c r="H55" s="8"/>
      <c r="I55" s="8"/>
    </row>
    <row r="56" spans="1:13" ht="15.75" customHeight="1" x14ac:dyDescent="0.3">
      <c r="A56" s="4" t="s">
        <v>42</v>
      </c>
      <c r="B56" s="4"/>
      <c r="C56" s="4"/>
      <c r="D56" s="4"/>
      <c r="E56" s="4"/>
      <c r="F56" s="8"/>
      <c r="G56" s="4"/>
      <c r="H56" s="8"/>
      <c r="I56" s="8"/>
    </row>
    <row r="57" spans="1:13" ht="20.25" customHeight="1" x14ac:dyDescent="0.3">
      <c r="A57" s="4" t="s">
        <v>43</v>
      </c>
      <c r="B57" s="4"/>
      <c r="C57" s="4"/>
      <c r="D57" s="4"/>
      <c r="E57" s="4"/>
      <c r="F57" s="8">
        <f>I5</f>
        <v>13811.4</v>
      </c>
      <c r="G57" s="4"/>
      <c r="H57" s="8"/>
      <c r="I57" s="8"/>
    </row>
    <row r="58" spans="1:13" ht="20.25" customHeight="1" x14ac:dyDescent="0.4">
      <c r="A58" s="4"/>
      <c r="B58" s="4"/>
      <c r="C58" s="19"/>
      <c r="D58" s="4"/>
      <c r="E58" s="4"/>
      <c r="F58" s="8">
        <f>SUM(F19:F57)</f>
        <v>13811.4</v>
      </c>
      <c r="G58" s="4"/>
      <c r="H58" s="8"/>
      <c r="I58" s="20"/>
    </row>
    <row r="59" spans="1:13" ht="20.25" customHeight="1" x14ac:dyDescent="0.4">
      <c r="A59" s="21" t="s">
        <v>44</v>
      </c>
      <c r="B59" s="19"/>
      <c r="C59" s="4"/>
      <c r="D59" s="19"/>
      <c r="E59" s="19"/>
      <c r="F59" s="22">
        <f>H15/H11</f>
        <v>0.3616278264491346</v>
      </c>
      <c r="G59" s="19"/>
      <c r="H59" s="8"/>
      <c r="I59" s="8"/>
    </row>
    <row r="60" spans="1:13" ht="15.75" customHeight="1" x14ac:dyDescent="0.4">
      <c r="A60" s="4"/>
      <c r="B60" s="4"/>
      <c r="C60" s="4"/>
      <c r="D60" s="4"/>
      <c r="E60" s="4"/>
      <c r="F60" s="8"/>
      <c r="G60" s="2" t="s">
        <v>45</v>
      </c>
      <c r="H60" s="20"/>
      <c r="I60" s="8"/>
    </row>
    <row r="61" spans="1:13" ht="15.75" customHeight="1" x14ac:dyDescent="0.3">
      <c r="A61" s="4"/>
      <c r="B61" s="4"/>
      <c r="C61" s="4"/>
      <c r="D61" s="4"/>
      <c r="E61" s="4" t="s">
        <v>50</v>
      </c>
      <c r="F61" s="8"/>
      <c r="G61" s="2"/>
      <c r="H61" s="5">
        <f>I3</f>
        <v>46139</v>
      </c>
      <c r="I61" s="8"/>
    </row>
    <row r="62" spans="1:13" ht="15.75" customHeight="1" x14ac:dyDescent="0.3">
      <c r="A62" s="4" t="s">
        <v>46</v>
      </c>
      <c r="B62" s="4"/>
      <c r="C62" s="4"/>
      <c r="D62" s="4"/>
      <c r="E62" s="4"/>
      <c r="F62" s="8"/>
      <c r="G62" s="14"/>
      <c r="H62" s="14"/>
      <c r="I62" s="8"/>
    </row>
    <row r="63" spans="1:13" ht="15.75" x14ac:dyDescent="0.3">
      <c r="A63" s="2" t="s">
        <v>47</v>
      </c>
      <c r="B63" s="4"/>
      <c r="C63" s="14"/>
      <c r="D63" s="4"/>
      <c r="E63" s="4"/>
      <c r="F63" s="8"/>
      <c r="G63" s="2" t="s">
        <v>48</v>
      </c>
      <c r="H63" s="8"/>
      <c r="I63" s="14"/>
    </row>
    <row r="64" spans="1:13" ht="15.75" x14ac:dyDescent="0.3">
      <c r="A64" s="14"/>
      <c r="B64" s="14"/>
      <c r="C64" s="14"/>
      <c r="D64" s="14"/>
      <c r="E64" s="14"/>
      <c r="F64" s="14"/>
      <c r="G64" s="14"/>
      <c r="H64" s="8"/>
      <c r="I64" s="14"/>
    </row>
  </sheetData>
  <mergeCells count="1">
    <mergeCell ref="A1:I1"/>
  </mergeCells>
  <pageMargins left="0.7" right="0.7" top="0.75" bottom="0.75" header="0.3" footer="0.3"/>
  <pageSetup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91B7-7F8D-4739-B1A3-271710D5D7C7}">
  <sheetPr>
    <pageSetUpPr fitToPage="1"/>
  </sheetPr>
  <dimension ref="A1:O64"/>
  <sheetViews>
    <sheetView tabSelected="1" workbookViewId="0">
      <selection activeCell="K10" sqref="K10"/>
    </sheetView>
  </sheetViews>
  <sheetFormatPr defaultRowHeight="15" x14ac:dyDescent="0.25"/>
  <cols>
    <col min="5" max="5" width="10.42578125" customWidth="1"/>
    <col min="6" max="6" width="11.5703125" customWidth="1"/>
    <col min="7" max="7" width="9.42578125" bestFit="1" customWidth="1"/>
    <col min="8" max="8" width="11" bestFit="1" customWidth="1"/>
    <col min="9" max="9" width="13.85546875" customWidth="1"/>
    <col min="15" max="15" width="9.5703125" bestFit="1" customWidth="1"/>
  </cols>
  <sheetData>
    <row r="1" spans="1:15" ht="18" x14ac:dyDescent="0.25">
      <c r="A1" s="27" t="s">
        <v>57</v>
      </c>
      <c r="B1" s="27"/>
      <c r="C1" s="27"/>
      <c r="D1" s="27"/>
      <c r="E1" s="27"/>
      <c r="F1" s="27"/>
      <c r="G1" s="27"/>
      <c r="H1" s="27"/>
      <c r="I1" s="27"/>
    </row>
    <row r="2" spans="1:15" ht="15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5" ht="15.75" customHeight="1" x14ac:dyDescent="0.3">
      <c r="A3" s="2" t="s">
        <v>51</v>
      </c>
      <c r="B3" s="3" t="str">
        <f>[5]Sheet2!$C$1639</f>
        <v>TWUM  CASTRO</v>
      </c>
      <c r="C3" s="4"/>
      <c r="D3" s="4"/>
      <c r="E3" s="4"/>
      <c r="F3" s="4"/>
      <c r="G3" s="2" t="s">
        <v>0</v>
      </c>
      <c r="H3" s="5"/>
      <c r="I3" s="5">
        <v>46192</v>
      </c>
    </row>
    <row r="4" spans="1:15" ht="15.75" customHeight="1" x14ac:dyDescent="0.3">
      <c r="A4" s="2" t="s">
        <v>1</v>
      </c>
      <c r="B4" s="6" t="str">
        <f>[5]Sheet2!$C$1637</f>
        <v>1151564</v>
      </c>
      <c r="C4" s="4"/>
      <c r="D4" s="4"/>
      <c r="E4" s="4"/>
      <c r="F4" s="4"/>
      <c r="G4" s="7" t="s">
        <v>2</v>
      </c>
      <c r="H4" s="8"/>
      <c r="I4" s="23" t="s">
        <v>72</v>
      </c>
    </row>
    <row r="5" spans="1:15" ht="15.75" customHeight="1" x14ac:dyDescent="0.3">
      <c r="A5" s="2" t="s">
        <v>3</v>
      </c>
      <c r="B5" s="18" t="str">
        <f>[5]Sheet3!$G$2787</f>
        <v>FIELD OPERATIONS</v>
      </c>
      <c r="C5" s="4"/>
      <c r="D5" s="4"/>
      <c r="E5" s="4"/>
      <c r="F5" s="4"/>
      <c r="G5" s="7" t="s">
        <v>4</v>
      </c>
      <c r="H5" s="8"/>
      <c r="I5" s="9">
        <v>103000</v>
      </c>
    </row>
    <row r="6" spans="1:15" ht="15.75" customHeight="1" x14ac:dyDescent="0.3">
      <c r="A6" s="2" t="s">
        <v>5</v>
      </c>
      <c r="B6" s="4" t="str">
        <f>[5]Sheet3!$G$2790</f>
        <v>TEMA PORT</v>
      </c>
      <c r="C6" s="4"/>
      <c r="D6" s="4"/>
      <c r="E6" s="4"/>
      <c r="F6" s="4"/>
      <c r="G6" s="2" t="s">
        <v>6</v>
      </c>
      <c r="H6" s="8"/>
      <c r="I6" s="10">
        <v>120</v>
      </c>
    </row>
    <row r="7" spans="1:15" ht="15.75" customHeight="1" x14ac:dyDescent="0.3">
      <c r="A7" s="4"/>
      <c r="B7" s="4"/>
      <c r="C7" s="4"/>
      <c r="D7" s="4"/>
      <c r="E7" s="4"/>
      <c r="F7" s="4"/>
      <c r="G7" s="4"/>
      <c r="H7" s="8"/>
      <c r="I7" s="8"/>
    </row>
    <row r="8" spans="1:15" ht="15.75" customHeight="1" x14ac:dyDescent="0.3">
      <c r="A8" s="4"/>
      <c r="B8" s="4" t="s">
        <v>7</v>
      </c>
      <c r="C8" s="4"/>
      <c r="D8" s="4"/>
      <c r="E8" s="4"/>
      <c r="F8" s="4"/>
      <c r="G8" s="4" t="s">
        <v>8</v>
      </c>
      <c r="H8" s="11">
        <f>H9*12</f>
        <v>135263.23200000002</v>
      </c>
      <c r="I8" s="8"/>
    </row>
    <row r="9" spans="1:15" ht="15.75" customHeight="1" x14ac:dyDescent="0.3">
      <c r="A9" s="4"/>
      <c r="B9" s="4" t="s">
        <v>9</v>
      </c>
      <c r="C9" s="4"/>
      <c r="D9" s="4"/>
      <c r="E9" s="4"/>
      <c r="F9" s="4"/>
      <c r="G9" s="4" t="s">
        <v>8</v>
      </c>
      <c r="H9" s="11">
        <f>[6]Sheet1!$E$20691</f>
        <v>11271.936000000002</v>
      </c>
      <c r="I9" s="8"/>
    </row>
    <row r="10" spans="1:15" ht="15.75" customHeight="1" x14ac:dyDescent="0.3">
      <c r="A10" s="4"/>
      <c r="B10" s="4" t="s">
        <v>10</v>
      </c>
      <c r="C10" s="4"/>
      <c r="D10" s="4"/>
      <c r="E10" s="4"/>
      <c r="F10" s="4"/>
      <c r="G10" s="4" t="s">
        <v>8</v>
      </c>
      <c r="H10" s="11">
        <f>[6]Sheet1!$E$20693+[6]Sheet1!$E$20695+[6]Sheet1!$E$20697</f>
        <v>6143.33</v>
      </c>
      <c r="I10" s="8"/>
    </row>
    <row r="11" spans="1:15" ht="15.75" customHeight="1" x14ac:dyDescent="0.3">
      <c r="A11" s="4"/>
      <c r="B11" s="4" t="s">
        <v>11</v>
      </c>
      <c r="C11" s="4"/>
      <c r="D11" s="4"/>
      <c r="E11" s="4"/>
      <c r="F11" s="4"/>
      <c r="G11" s="4" t="s">
        <v>8</v>
      </c>
      <c r="H11" s="11">
        <f>H9+H10</f>
        <v>17415.266000000003</v>
      </c>
      <c r="I11" s="8"/>
    </row>
    <row r="12" spans="1:15" ht="15.75" customHeight="1" x14ac:dyDescent="0.3">
      <c r="A12" s="2" t="s">
        <v>12</v>
      </c>
      <c r="B12" s="4"/>
      <c r="C12" s="4"/>
      <c r="D12" s="4" t="s">
        <v>8</v>
      </c>
      <c r="E12" s="25">
        <f>[6]Sheet1!$J$20699-[6]Sheet1!$G$20664</f>
        <v>9073.43</v>
      </c>
      <c r="F12" s="4"/>
      <c r="G12" s="4"/>
      <c r="H12" s="11"/>
      <c r="I12" s="8"/>
    </row>
    <row r="13" spans="1:15" ht="15.75" customHeight="1" x14ac:dyDescent="0.3">
      <c r="A13" s="4" t="s">
        <v>13</v>
      </c>
      <c r="B13" s="4"/>
      <c r="C13" s="4"/>
      <c r="D13" s="4"/>
      <c r="E13" s="12">
        <f>I5/I6</f>
        <v>858.33333333333337</v>
      </c>
      <c r="F13" s="4"/>
      <c r="G13" s="4"/>
      <c r="H13" s="11"/>
      <c r="I13" s="8"/>
    </row>
    <row r="14" spans="1:15" ht="15.75" customHeight="1" x14ac:dyDescent="0.3">
      <c r="A14" s="2" t="s">
        <v>14</v>
      </c>
      <c r="B14" s="4"/>
      <c r="C14" s="4"/>
      <c r="D14" s="4"/>
      <c r="E14" s="4"/>
      <c r="F14" s="4"/>
      <c r="G14" s="4"/>
      <c r="H14" s="11">
        <f>E12+E13</f>
        <v>9931.7633333333342</v>
      </c>
      <c r="I14" s="8"/>
    </row>
    <row r="15" spans="1:15" ht="15.75" customHeight="1" x14ac:dyDescent="0.3">
      <c r="A15" s="2" t="s">
        <v>15</v>
      </c>
      <c r="B15" s="4"/>
      <c r="C15" s="4"/>
      <c r="D15" s="4"/>
      <c r="E15" s="4"/>
      <c r="F15" s="4"/>
      <c r="G15" s="4"/>
      <c r="H15" s="11">
        <f>H11-H14</f>
        <v>7483.502666666669</v>
      </c>
      <c r="I15" s="8"/>
      <c r="M15" t="s">
        <v>54</v>
      </c>
      <c r="O15" s="24"/>
    </row>
    <row r="16" spans="1:15" ht="15.75" customHeight="1" x14ac:dyDescent="0.3">
      <c r="A16" s="4" t="s">
        <v>16</v>
      </c>
      <c r="B16" s="4"/>
      <c r="C16" s="4"/>
      <c r="D16" s="4"/>
      <c r="E16" s="4"/>
      <c r="F16" s="4"/>
      <c r="G16" s="4"/>
      <c r="H16" s="8">
        <f>H11/2</f>
        <v>8707.6330000000016</v>
      </c>
      <c r="I16" s="8"/>
    </row>
    <row r="17" spans="1:13" ht="16.5" customHeight="1" x14ac:dyDescent="0.35">
      <c r="A17" s="13" t="s">
        <v>17</v>
      </c>
      <c r="B17" s="2"/>
      <c r="C17" s="4"/>
      <c r="D17" s="4"/>
      <c r="E17" s="4"/>
      <c r="F17" s="3"/>
      <c r="G17" s="4"/>
      <c r="H17" s="14"/>
      <c r="I17" s="8"/>
    </row>
    <row r="18" spans="1:13" ht="16.5" customHeight="1" x14ac:dyDescent="0.35">
      <c r="A18" s="15" t="s">
        <v>59</v>
      </c>
      <c r="B18" s="2"/>
      <c r="C18" s="4"/>
      <c r="D18" s="4"/>
      <c r="E18" s="4"/>
      <c r="F18" s="3"/>
      <c r="G18" s="4"/>
      <c r="H18" s="14"/>
      <c r="I18" s="8"/>
    </row>
    <row r="19" spans="1:13" ht="16.5" customHeight="1" x14ac:dyDescent="0.35">
      <c r="A19" s="15" t="s">
        <v>18</v>
      </c>
      <c r="B19" s="4"/>
      <c r="C19" s="4"/>
      <c r="D19" s="4"/>
      <c r="E19" s="16"/>
      <c r="F19" s="3">
        <f>[5]Sheet2!$I$1672</f>
        <v>2438.2400000000002</v>
      </c>
      <c r="G19" s="3"/>
      <c r="H19" s="8"/>
      <c r="I19" s="17"/>
      <c r="M19" s="26"/>
    </row>
    <row r="20" spans="1:13" ht="15.75" customHeight="1" x14ac:dyDescent="0.3">
      <c r="A20" s="4" t="s">
        <v>19</v>
      </c>
      <c r="B20" s="4"/>
      <c r="C20" s="4"/>
      <c r="D20" s="4"/>
      <c r="E20" s="16"/>
      <c r="F20" s="3"/>
      <c r="G20" s="4"/>
      <c r="H20" s="8"/>
      <c r="I20" s="8"/>
    </row>
    <row r="21" spans="1:13" ht="15.75" customHeight="1" x14ac:dyDescent="0.3">
      <c r="A21" s="4" t="s">
        <v>20</v>
      </c>
      <c r="B21" s="4"/>
      <c r="C21" s="4"/>
      <c r="D21" s="3"/>
      <c r="E21" s="14"/>
      <c r="F21" s="3"/>
      <c r="G21" s="4"/>
      <c r="H21" s="8"/>
      <c r="I21" s="8"/>
    </row>
    <row r="22" spans="1:13" ht="15.75" customHeight="1" x14ac:dyDescent="0.3">
      <c r="A22" s="4" t="s">
        <v>21</v>
      </c>
      <c r="B22" s="4"/>
      <c r="C22" s="4"/>
      <c r="D22" s="4"/>
      <c r="E22" s="16"/>
      <c r="F22" s="18"/>
      <c r="G22" s="4"/>
      <c r="H22" s="8"/>
      <c r="I22" s="8"/>
    </row>
    <row r="23" spans="1:13" ht="15.75" customHeight="1" x14ac:dyDescent="0.3">
      <c r="A23" s="4" t="s">
        <v>22</v>
      </c>
      <c r="B23" s="4"/>
      <c r="C23" s="4"/>
      <c r="D23" s="4"/>
      <c r="E23" s="16"/>
      <c r="F23" s="18">
        <f>[5]Sheet2!$I$1664</f>
        <v>1666.6000000000001</v>
      </c>
      <c r="G23" s="4"/>
      <c r="H23" s="8"/>
      <c r="I23" s="8"/>
    </row>
    <row r="24" spans="1:13" ht="15.75" customHeight="1" x14ac:dyDescent="0.3">
      <c r="A24" s="4" t="s">
        <v>23</v>
      </c>
      <c r="B24" s="4"/>
      <c r="C24" s="4"/>
      <c r="D24" s="4"/>
      <c r="E24" s="14"/>
      <c r="F24" s="18"/>
      <c r="G24" s="4"/>
      <c r="H24" s="8"/>
      <c r="I24" s="8"/>
    </row>
    <row r="25" spans="1:13" ht="15.75" customHeight="1" x14ac:dyDescent="0.3">
      <c r="A25" s="4" t="s">
        <v>24</v>
      </c>
      <c r="B25" s="4"/>
      <c r="C25" s="4"/>
      <c r="D25" s="4"/>
      <c r="E25" s="14"/>
      <c r="F25" s="3"/>
      <c r="G25" s="3"/>
      <c r="H25" s="8"/>
      <c r="I25" s="8"/>
    </row>
    <row r="26" spans="1:13" ht="15.75" customHeight="1" x14ac:dyDescent="0.3">
      <c r="A26" s="4" t="s">
        <v>70</v>
      </c>
      <c r="B26" s="4"/>
      <c r="C26" s="4"/>
      <c r="D26" s="4"/>
      <c r="E26" s="14"/>
      <c r="F26" s="3"/>
      <c r="G26" s="3"/>
      <c r="H26" s="8"/>
      <c r="I26" s="8"/>
    </row>
    <row r="27" spans="1:13" ht="15.75" customHeight="1" x14ac:dyDescent="0.3">
      <c r="A27" s="4" t="s">
        <v>25</v>
      </c>
      <c r="B27" s="4"/>
      <c r="C27" s="4"/>
      <c r="D27" s="4"/>
      <c r="E27" s="16"/>
      <c r="F27" s="18"/>
      <c r="G27" s="3"/>
      <c r="H27" s="8"/>
      <c r="I27" s="8"/>
    </row>
    <row r="28" spans="1:13" ht="15.75" customHeight="1" x14ac:dyDescent="0.3">
      <c r="A28" s="4" t="s">
        <v>26</v>
      </c>
      <c r="B28" s="4"/>
      <c r="C28" s="4"/>
      <c r="D28" s="4"/>
      <c r="E28" s="3"/>
      <c r="F28" s="18"/>
      <c r="G28" s="4"/>
      <c r="H28" s="8"/>
      <c r="I28" s="8"/>
    </row>
    <row r="29" spans="1:13" ht="15.75" customHeight="1" x14ac:dyDescent="0.3">
      <c r="A29" s="4" t="s">
        <v>27</v>
      </c>
      <c r="B29" s="4"/>
      <c r="C29" s="4"/>
      <c r="D29" s="4"/>
      <c r="E29" s="4"/>
      <c r="F29" s="18"/>
      <c r="G29" s="4"/>
      <c r="H29" s="8"/>
      <c r="I29" s="8"/>
    </row>
    <row r="30" spans="1:13" ht="15.75" customHeight="1" x14ac:dyDescent="0.3">
      <c r="A30" s="4" t="s">
        <v>28</v>
      </c>
      <c r="B30" s="4"/>
      <c r="C30" s="4"/>
      <c r="D30" s="4"/>
      <c r="E30" s="4"/>
      <c r="F30" s="8"/>
      <c r="G30" s="3"/>
      <c r="H30" s="8"/>
      <c r="I30" s="8"/>
    </row>
    <row r="31" spans="1:13" ht="15.75" customHeight="1" x14ac:dyDescent="0.3">
      <c r="A31" s="4" t="s">
        <v>29</v>
      </c>
      <c r="B31" s="4"/>
      <c r="C31" s="4"/>
      <c r="D31" s="4"/>
      <c r="E31" s="4"/>
      <c r="F31" s="8"/>
      <c r="G31" s="4"/>
      <c r="H31" s="8"/>
      <c r="I31" s="8"/>
    </row>
    <row r="32" spans="1:13" ht="15.75" customHeight="1" x14ac:dyDescent="0.3">
      <c r="A32" s="4" t="s">
        <v>30</v>
      </c>
      <c r="B32" s="4"/>
      <c r="C32" s="4"/>
      <c r="D32" s="4"/>
      <c r="E32" s="4"/>
      <c r="F32" s="8"/>
      <c r="G32" s="4"/>
      <c r="H32" s="8"/>
      <c r="I32" s="8"/>
    </row>
    <row r="33" spans="1:13" ht="15.75" customHeight="1" x14ac:dyDescent="0.3">
      <c r="A33" s="4" t="s">
        <v>31</v>
      </c>
      <c r="B33" s="4"/>
      <c r="C33" s="4"/>
      <c r="D33" s="4"/>
      <c r="E33" s="4"/>
      <c r="F33" s="8"/>
      <c r="G33" s="4"/>
      <c r="H33" s="8"/>
      <c r="I33" s="8"/>
    </row>
    <row r="34" spans="1:13" ht="15.75" customHeight="1" x14ac:dyDescent="0.3">
      <c r="A34" s="4" t="s">
        <v>32</v>
      </c>
      <c r="B34" s="4"/>
      <c r="C34" s="4"/>
      <c r="D34" s="4"/>
      <c r="E34" s="4"/>
      <c r="F34" s="3"/>
      <c r="G34" s="4"/>
      <c r="H34" s="8"/>
      <c r="I34" s="14"/>
    </row>
    <row r="35" spans="1:13" ht="15.75" customHeight="1" x14ac:dyDescent="0.3">
      <c r="A35" s="4" t="s">
        <v>33</v>
      </c>
      <c r="B35" s="4"/>
      <c r="C35" s="4"/>
      <c r="D35" s="4"/>
      <c r="E35" s="8"/>
      <c r="F35" s="8"/>
      <c r="G35" s="8"/>
      <c r="H35" s="8"/>
      <c r="I35" s="8"/>
    </row>
    <row r="36" spans="1:13" ht="15.75" customHeight="1" x14ac:dyDescent="0.3">
      <c r="A36" s="4" t="s">
        <v>34</v>
      </c>
      <c r="B36" s="4"/>
      <c r="C36" s="4"/>
      <c r="D36" s="4"/>
      <c r="E36" s="4"/>
      <c r="F36" s="8"/>
      <c r="G36" s="4"/>
      <c r="H36" s="8"/>
      <c r="I36" s="8"/>
    </row>
    <row r="37" spans="1:13" ht="15.75" customHeight="1" x14ac:dyDescent="0.3">
      <c r="A37" s="4" t="s">
        <v>35</v>
      </c>
      <c r="B37" s="4"/>
      <c r="C37" s="4" t="s">
        <v>50</v>
      </c>
      <c r="D37" s="4"/>
      <c r="E37" s="4"/>
      <c r="F37" s="8"/>
      <c r="G37" s="4"/>
      <c r="H37" s="8"/>
      <c r="I37" s="8"/>
    </row>
    <row r="38" spans="1:13" ht="12" customHeight="1" x14ac:dyDescent="0.3">
      <c r="A38" s="4" t="s">
        <v>36</v>
      </c>
      <c r="B38" s="4"/>
      <c r="C38" s="4"/>
      <c r="D38" s="4"/>
      <c r="E38" s="3"/>
      <c r="F38" s="8"/>
      <c r="G38" s="4"/>
      <c r="H38" s="8"/>
      <c r="I38" s="8"/>
    </row>
    <row r="39" spans="1:13" ht="15.75" customHeight="1" x14ac:dyDescent="0.3">
      <c r="A39" s="4" t="s">
        <v>37</v>
      </c>
      <c r="B39" s="4"/>
      <c r="C39" s="4"/>
      <c r="D39" s="4"/>
      <c r="E39" s="4"/>
      <c r="F39" s="8"/>
      <c r="G39" s="4"/>
      <c r="H39" s="8"/>
      <c r="I39" s="8"/>
    </row>
    <row r="40" spans="1:13" ht="15.75" customHeight="1" x14ac:dyDescent="0.3">
      <c r="A40" s="4" t="s">
        <v>62</v>
      </c>
      <c r="B40" s="4"/>
      <c r="C40" s="4"/>
      <c r="D40" s="4"/>
      <c r="E40" s="4"/>
      <c r="F40" s="8"/>
      <c r="G40" s="4"/>
      <c r="H40" s="8"/>
      <c r="I40" s="8"/>
    </row>
    <row r="41" spans="1:13" ht="15.75" customHeight="1" x14ac:dyDescent="0.3">
      <c r="A41" s="4" t="s">
        <v>38</v>
      </c>
      <c r="B41" s="4"/>
      <c r="C41" s="4"/>
      <c r="D41" s="4"/>
      <c r="E41" s="4"/>
      <c r="F41" s="8"/>
      <c r="G41" s="4"/>
      <c r="H41" s="8"/>
      <c r="I41" s="8"/>
    </row>
    <row r="42" spans="1:13" ht="15.75" customHeight="1" x14ac:dyDescent="0.3">
      <c r="A42" s="4" t="s">
        <v>49</v>
      </c>
      <c r="B42" s="4"/>
      <c r="C42" s="4"/>
      <c r="D42" s="4"/>
      <c r="E42" s="4"/>
      <c r="F42" s="8"/>
      <c r="G42" s="3"/>
      <c r="H42" s="8"/>
      <c r="I42" s="8"/>
    </row>
    <row r="43" spans="1:13" ht="15.75" customHeight="1" x14ac:dyDescent="0.3">
      <c r="A43" s="4" t="s">
        <v>58</v>
      </c>
      <c r="B43" s="4"/>
      <c r="C43" s="4"/>
      <c r="D43" s="4"/>
      <c r="E43" s="4"/>
      <c r="F43" s="8"/>
      <c r="G43" s="3"/>
      <c r="H43" s="8"/>
      <c r="I43" s="8"/>
    </row>
    <row r="44" spans="1:13" ht="15.75" customHeight="1" x14ac:dyDescent="0.3">
      <c r="A44" s="4" t="s">
        <v>71</v>
      </c>
      <c r="B44" s="4"/>
      <c r="C44" s="4"/>
      <c r="D44" s="4"/>
      <c r="E44" s="4"/>
      <c r="F44" s="8"/>
      <c r="G44" s="3"/>
      <c r="H44" s="8"/>
      <c r="I44" s="8"/>
    </row>
    <row r="45" spans="1:13" ht="15.75" customHeight="1" x14ac:dyDescent="0.3">
      <c r="A45" s="4" t="s">
        <v>69</v>
      </c>
      <c r="B45" s="4"/>
      <c r="C45" s="4"/>
      <c r="D45" s="4"/>
      <c r="E45" s="4"/>
      <c r="F45" s="8"/>
      <c r="G45" s="3"/>
      <c r="H45" s="8"/>
      <c r="I45" s="8"/>
    </row>
    <row r="46" spans="1:13" ht="15.75" customHeight="1" x14ac:dyDescent="0.3">
      <c r="A46" s="4" t="s">
        <v>52</v>
      </c>
      <c r="B46" s="4"/>
      <c r="C46" s="4"/>
      <c r="D46" s="4"/>
      <c r="E46" s="4"/>
      <c r="F46" s="8"/>
      <c r="G46" s="4"/>
      <c r="H46" s="8"/>
      <c r="I46" s="8"/>
    </row>
    <row r="47" spans="1:13" ht="15.75" customHeight="1" x14ac:dyDescent="0.3">
      <c r="A47" s="4" t="s">
        <v>63</v>
      </c>
      <c r="B47" s="4"/>
      <c r="C47" s="4"/>
      <c r="D47" s="4"/>
      <c r="E47" s="4"/>
      <c r="F47" s="8"/>
      <c r="G47" s="4"/>
      <c r="H47" s="8"/>
      <c r="I47" s="8"/>
    </row>
    <row r="48" spans="1:13" ht="15.75" customHeight="1" x14ac:dyDescent="0.3">
      <c r="A48" s="4" t="s">
        <v>39</v>
      </c>
      <c r="B48" s="4"/>
      <c r="C48" s="4"/>
      <c r="D48" s="4"/>
      <c r="E48" s="3"/>
      <c r="F48" s="8"/>
      <c r="G48" s="4"/>
      <c r="H48" s="8"/>
      <c r="I48" s="8"/>
      <c r="M48" t="s">
        <v>54</v>
      </c>
    </row>
    <row r="49" spans="1:13" ht="15.75" customHeight="1" x14ac:dyDescent="0.3">
      <c r="A49" s="4" t="s">
        <v>68</v>
      </c>
      <c r="B49" s="4"/>
      <c r="C49" s="4"/>
      <c r="D49" s="4"/>
      <c r="E49" s="3"/>
      <c r="F49" s="8"/>
      <c r="G49" s="4"/>
      <c r="H49" s="8"/>
      <c r="I49" s="8"/>
    </row>
    <row r="50" spans="1:13" ht="15.75" customHeight="1" x14ac:dyDescent="0.3">
      <c r="A50" s="4" t="s">
        <v>40</v>
      </c>
      <c r="B50" s="4"/>
      <c r="C50" s="4"/>
      <c r="D50" s="4"/>
      <c r="E50" s="4"/>
      <c r="F50" s="8"/>
      <c r="G50" s="4"/>
      <c r="H50" s="8"/>
      <c r="I50" s="8"/>
    </row>
    <row r="51" spans="1:13" ht="15.75" customHeight="1" x14ac:dyDescent="0.3">
      <c r="A51" s="4" t="s">
        <v>68</v>
      </c>
      <c r="B51" s="4"/>
      <c r="C51" s="4"/>
      <c r="D51" s="4"/>
      <c r="E51" s="4"/>
      <c r="F51" s="8"/>
      <c r="G51" s="4"/>
      <c r="H51" s="8"/>
      <c r="I51" s="8"/>
    </row>
    <row r="52" spans="1:13" ht="15.75" customHeight="1" x14ac:dyDescent="0.3">
      <c r="A52" s="4" t="s">
        <v>41</v>
      </c>
      <c r="B52" s="4"/>
      <c r="C52" s="4"/>
      <c r="D52" s="4"/>
      <c r="E52" s="4"/>
      <c r="F52" s="8"/>
      <c r="G52" s="4"/>
      <c r="H52" s="8"/>
      <c r="I52" s="8"/>
      <c r="M52" t="s">
        <v>54</v>
      </c>
    </row>
    <row r="53" spans="1:13" ht="15.75" customHeight="1" x14ac:dyDescent="0.3">
      <c r="A53" s="4" t="s">
        <v>55</v>
      </c>
      <c r="B53" s="4"/>
      <c r="C53" s="4"/>
      <c r="D53" s="4"/>
      <c r="E53" s="3"/>
      <c r="F53" s="8"/>
      <c r="G53" s="4"/>
      <c r="H53" s="8"/>
      <c r="I53" s="8"/>
      <c r="M53" t="s">
        <v>56</v>
      </c>
    </row>
    <row r="54" spans="1:13" ht="15.75" customHeight="1" x14ac:dyDescent="0.3">
      <c r="A54" s="4" t="s">
        <v>69</v>
      </c>
      <c r="B54" s="4"/>
      <c r="C54" s="4"/>
      <c r="D54" s="4"/>
      <c r="E54" s="3"/>
      <c r="F54" s="8">
        <f>[5]Sheet2!$I$1666</f>
        <v>3471.4300000000003</v>
      </c>
      <c r="G54" s="4"/>
      <c r="H54" s="8"/>
      <c r="I54" s="8"/>
    </row>
    <row r="55" spans="1:13" ht="15.75" customHeight="1" x14ac:dyDescent="0.3">
      <c r="A55" s="4" t="s">
        <v>53</v>
      </c>
      <c r="B55" s="4"/>
      <c r="C55" s="4"/>
      <c r="D55" s="4"/>
      <c r="E55" s="4"/>
      <c r="F55" s="8"/>
      <c r="G55" s="4"/>
      <c r="H55" s="8"/>
      <c r="I55" s="8"/>
    </row>
    <row r="56" spans="1:13" ht="15.75" customHeight="1" x14ac:dyDescent="0.3">
      <c r="A56" s="4" t="s">
        <v>42</v>
      </c>
      <c r="B56" s="4"/>
      <c r="C56" s="4"/>
      <c r="D56" s="4"/>
      <c r="E56" s="4"/>
      <c r="F56" s="8"/>
      <c r="G56" s="4"/>
      <c r="H56" s="8"/>
      <c r="I56" s="8"/>
    </row>
    <row r="57" spans="1:13" ht="20.25" customHeight="1" x14ac:dyDescent="0.3">
      <c r="A57" s="4" t="s">
        <v>43</v>
      </c>
      <c r="B57" s="4"/>
      <c r="C57" s="4"/>
      <c r="D57" s="4"/>
      <c r="E57" s="4"/>
      <c r="F57" s="8">
        <f>I5</f>
        <v>103000</v>
      </c>
      <c r="G57" s="4"/>
      <c r="H57" s="8"/>
      <c r="I57" s="8"/>
    </row>
    <row r="58" spans="1:13" ht="20.25" customHeight="1" x14ac:dyDescent="0.4">
      <c r="A58" s="4"/>
      <c r="B58" s="4"/>
      <c r="C58" s="19"/>
      <c r="D58" s="4"/>
      <c r="E58" s="4"/>
      <c r="F58" s="8">
        <f>SUM(F19:F57)</f>
        <v>110576.27</v>
      </c>
      <c r="G58" s="4"/>
      <c r="H58" s="8"/>
      <c r="I58" s="20"/>
    </row>
    <row r="59" spans="1:13" ht="20.25" customHeight="1" x14ac:dyDescent="0.4">
      <c r="A59" s="21" t="s">
        <v>44</v>
      </c>
      <c r="B59" s="19"/>
      <c r="C59" s="4"/>
      <c r="D59" s="19"/>
      <c r="E59" s="19"/>
      <c r="F59" s="22">
        <f>H15/H11</f>
        <v>0.42970935193678167</v>
      </c>
      <c r="G59" s="19"/>
      <c r="H59" s="8"/>
      <c r="I59" s="8"/>
    </row>
    <row r="60" spans="1:13" ht="15.75" customHeight="1" x14ac:dyDescent="0.4">
      <c r="A60" s="4"/>
      <c r="B60" s="4"/>
      <c r="C60" s="4"/>
      <c r="D60" s="4"/>
      <c r="E60" s="4"/>
      <c r="F60" s="8"/>
      <c r="G60" s="2" t="s">
        <v>45</v>
      </c>
      <c r="H60" s="20"/>
      <c r="I60" s="8"/>
    </row>
    <row r="61" spans="1:13" ht="15.75" customHeight="1" x14ac:dyDescent="0.3">
      <c r="A61" s="4"/>
      <c r="B61" s="4"/>
      <c r="C61" s="4"/>
      <c r="D61" s="4"/>
      <c r="E61" s="4" t="s">
        <v>50</v>
      </c>
      <c r="F61" s="8"/>
      <c r="G61" s="2"/>
      <c r="H61" s="5">
        <f>I3</f>
        <v>46192</v>
      </c>
      <c r="I61" s="8"/>
    </row>
    <row r="62" spans="1:13" ht="15.75" customHeight="1" x14ac:dyDescent="0.3">
      <c r="A62" s="4" t="s">
        <v>46</v>
      </c>
      <c r="B62" s="4"/>
      <c r="C62" s="4"/>
      <c r="D62" s="4"/>
      <c r="E62" s="4"/>
      <c r="F62" s="8"/>
      <c r="G62" s="14"/>
      <c r="H62" s="14"/>
      <c r="I62" s="8"/>
    </row>
    <row r="63" spans="1:13" ht="15.75" x14ac:dyDescent="0.3">
      <c r="A63" s="2" t="s">
        <v>47</v>
      </c>
      <c r="B63" s="4"/>
      <c r="C63" s="14"/>
      <c r="D63" s="4"/>
      <c r="E63" s="4"/>
      <c r="F63" s="8"/>
      <c r="G63" s="2" t="s">
        <v>48</v>
      </c>
      <c r="H63" s="8"/>
      <c r="I63" s="14"/>
    </row>
    <row r="64" spans="1:13" ht="15.75" x14ac:dyDescent="0.3">
      <c r="A64" s="14"/>
      <c r="B64" s="14"/>
      <c r="C64" s="14"/>
      <c r="D64" s="14"/>
      <c r="E64" s="14"/>
      <c r="F64" s="14"/>
      <c r="G64" s="14"/>
      <c r="H64" s="8"/>
      <c r="I64" s="14"/>
    </row>
  </sheetData>
  <mergeCells count="1">
    <mergeCell ref="A1:I1"/>
  </mergeCells>
  <pageMargins left="0.7" right="0.7" top="0.75" bottom="0.75" header="0.3" footer="0.3"/>
  <pageSetup scale="7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Alberta Arthur</dc:creator>
  <cp:lastModifiedBy>Nana Yiadom-Farkye</cp:lastModifiedBy>
  <cp:lastPrinted>2026-06-22T15:45:08Z</cp:lastPrinted>
  <dcterms:created xsi:type="dcterms:W3CDTF">2019-11-26T16:35:28Z</dcterms:created>
  <dcterms:modified xsi:type="dcterms:W3CDTF">2026-06-30T16:53:57Z</dcterms:modified>
</cp:coreProperties>
</file>